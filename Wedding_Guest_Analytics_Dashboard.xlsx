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373b1d010945caec/Desktop/Projects/"/>
    </mc:Choice>
  </mc:AlternateContent>
  <xr:revisionPtr revIDLastSave="208" documentId="8_{492472DB-7E8D-4C61-BA57-3FDEA99F323E}" xr6:coauthVersionLast="47" xr6:coauthVersionMax="47" xr10:uidLastSave="{7351417A-4A69-45F8-A27F-D7A772048DC6}"/>
  <bookViews>
    <workbookView xWindow="-90" yWindow="0" windowWidth="9780" windowHeight="11370" firstSheet="3" activeTab="3" xr2:uid="{00000000-000D-0000-FFFF-FFFF00000000}"/>
  </bookViews>
  <sheets>
    <sheet name="Pivot Analysis" sheetId="6" r:id="rId1"/>
    <sheet name="Guest Data" sheetId="1" r:id="rId2"/>
    <sheet name="Attendance Summary" sheetId="2" r:id="rId3"/>
    <sheet name="Dashboard" sheetId="5" r:id="rId4"/>
  </sheets>
  <definedNames>
    <definedName name="Slicer_Relat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 l="1"/>
  <c r="E14" i="2"/>
  <c r="E15" i="2"/>
  <c r="E13" i="2"/>
  <c r="A13" i="5"/>
  <c r="G9" i="5"/>
  <c r="D9" i="5"/>
  <c r="A9" i="5"/>
  <c r="G5" i="5"/>
  <c r="D5" i="5"/>
  <c r="A5" i="5"/>
  <c r="H5" i="2"/>
  <c r="H4" i="2"/>
  <c r="H3"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E4" i="2"/>
  <c r="E3" i="2"/>
  <c r="B4" i="2"/>
  <c r="B3" i="2"/>
  <c r="E8" i="2" s="1"/>
  <c r="B8" i="2" l="1"/>
  <c r="E9" i="2"/>
  <c r="B7" i="2"/>
  <c r="B9" i="2" s="1"/>
  <c r="B5" i="2"/>
  <c r="B10" i="2" l="1"/>
  <c r="B11" i="2" s="1"/>
</calcChain>
</file>

<file path=xl/sharedStrings.xml><?xml version="1.0" encoding="utf-8"?>
<sst xmlns="http://schemas.openxmlformats.org/spreadsheetml/2006/main" count="558" uniqueCount="174">
  <si>
    <t>Groom</t>
  </si>
  <si>
    <t>Colleague</t>
  </si>
  <si>
    <t>Y</t>
  </si>
  <si>
    <t>Bride</t>
  </si>
  <si>
    <t>Friend</t>
  </si>
  <si>
    <t>N</t>
  </si>
  <si>
    <t>Family</t>
  </si>
  <si>
    <t>Invited By</t>
  </si>
  <si>
    <t>Steve Zank</t>
  </si>
  <si>
    <t>Winkie Clark</t>
  </si>
  <si>
    <t>William Shelton</t>
  </si>
  <si>
    <t>Wanda Long</t>
  </si>
  <si>
    <t>Virginia Billingsley</t>
  </si>
  <si>
    <t>Richard McCullough</t>
  </si>
  <si>
    <t>Robert McCullough</t>
  </si>
  <si>
    <t>William McCullough</t>
  </si>
  <si>
    <t>Tricia Lynn</t>
  </si>
  <si>
    <t>Tony Neerey</t>
  </si>
  <si>
    <t>Thomas Neiderman</t>
  </si>
  <si>
    <t>Susie Jones</t>
  </si>
  <si>
    <t>Susan Tompkins</t>
  </si>
  <si>
    <t>Richard Albright</t>
  </si>
  <si>
    <t>Steve Kellermeyer</t>
  </si>
  <si>
    <t>Steve Hoadley</t>
  </si>
  <si>
    <t>Steve Helton</t>
  </si>
  <si>
    <t>Stephen Bowen</t>
  </si>
  <si>
    <t>Stan Kimmett</t>
  </si>
  <si>
    <t>Shirley Irwin</t>
  </si>
  <si>
    <t>Shelley Lyons</t>
  </si>
  <si>
    <t>Shaun Elliot</t>
  </si>
  <si>
    <t>Ronald Maclean</t>
  </si>
  <si>
    <t>Ron Allen</t>
  </si>
  <si>
    <t>Robert Martin</t>
  </si>
  <si>
    <t>Richard Greene</t>
  </si>
  <si>
    <t>Richard Glen</t>
  </si>
  <si>
    <t>Rene Tabor</t>
  </si>
  <si>
    <t>Margaret Becky</t>
  </si>
  <si>
    <t>Patrick Timms</t>
  </si>
  <si>
    <t>Otis Vator</t>
  </si>
  <si>
    <t>Ronald Breeder</t>
  </si>
  <si>
    <t>John Tompkins</t>
  </si>
  <si>
    <t>Robert Gollen</t>
  </si>
  <si>
    <t>Miss Linn</t>
  </si>
  <si>
    <t>Mike Reeder</t>
  </si>
  <si>
    <t>Mike Tripp</t>
  </si>
  <si>
    <t>Mary Daly</t>
  </si>
  <si>
    <t>Martha Best</t>
  </si>
  <si>
    <t>Marita Douglas</t>
  </si>
  <si>
    <t>Marge Puryear</t>
  </si>
  <si>
    <t>Malcom Dowl</t>
  </si>
  <si>
    <t>Lynn Hampton</t>
  </si>
  <si>
    <t>Lucy Pulliam</t>
  </si>
  <si>
    <t>Donald Ely</t>
  </si>
  <si>
    <t>Liz McCoy</t>
  </si>
  <si>
    <t>Lisa VanZandt</t>
  </si>
  <si>
    <t>Linda Dink</t>
  </si>
  <si>
    <t>Linda Bowman</t>
  </si>
  <si>
    <t>Lillian Richards</t>
  </si>
  <si>
    <t>Laurie Hall</t>
  </si>
  <si>
    <t>Kevin Lynn</t>
  </si>
  <si>
    <t>Ken Elkington</t>
  </si>
  <si>
    <t>Kelly Baker</t>
  </si>
  <si>
    <t>Kathy McCammon</t>
  </si>
  <si>
    <t>Kathy Arrington</t>
  </si>
  <si>
    <t>Kathy Tompkins</t>
  </si>
  <si>
    <t>Kathleen Lynn</t>
  </si>
  <si>
    <t>Karla Matteson</t>
  </si>
  <si>
    <t>Julian Helton</t>
  </si>
  <si>
    <t>John Schwab</t>
  </si>
  <si>
    <t>John Altman</t>
  </si>
  <si>
    <t>Julie Anders</t>
  </si>
  <si>
    <t>Joseph Tompkins</t>
  </si>
  <si>
    <t>Jill Sackman</t>
  </si>
  <si>
    <t>Jill Blankenship</t>
  </si>
  <si>
    <t>Jerome Norton</t>
  </si>
  <si>
    <t>Jennie Jenkins</t>
  </si>
  <si>
    <t>Jeff Bennett</t>
  </si>
  <si>
    <t>Jayne Morris</t>
  </si>
  <si>
    <t>Janet Haag</t>
  </si>
  <si>
    <t>Ilse Anderson</t>
  </si>
  <si>
    <t>Hal Rider</t>
  </si>
  <si>
    <t>Greg Bishop</t>
  </si>
  <si>
    <t>Grant Neiderman</t>
  </si>
  <si>
    <t>Gil Alexander</t>
  </si>
  <si>
    <t>Geraldine Swartz</t>
  </si>
  <si>
    <t>Gene Frye</t>
  </si>
  <si>
    <t>Frank Ralston</t>
  </si>
  <si>
    <t>Esther Cronin</t>
  </si>
  <si>
    <t>Eileen DiBalsamo</t>
  </si>
  <si>
    <t>Earlene Hopkins</t>
  </si>
  <si>
    <t>Donald Stephens</t>
  </si>
  <si>
    <t>Dr. Lozzio</t>
  </si>
  <si>
    <t>Dr. Floyd</t>
  </si>
  <si>
    <t>Dorothy Wetzel</t>
  </si>
  <si>
    <t>Doris Williams</t>
  </si>
  <si>
    <t>Doris Keeling</t>
  </si>
  <si>
    <t>Donna Hartman</t>
  </si>
  <si>
    <t>Don Vaughan</t>
  </si>
  <si>
    <t>Diana White</t>
  </si>
  <si>
    <t>Dennis Tompkins</t>
  </si>
  <si>
    <t>Deborah Rice</t>
  </si>
  <si>
    <t>David Wells</t>
  </si>
  <si>
    <t>David Roebuck</t>
  </si>
  <si>
    <t>David Folz</t>
  </si>
  <si>
    <t>Daphne Saunders</t>
  </si>
  <si>
    <t>Connie Morgan</t>
  </si>
  <si>
    <t>Claudia Wilson</t>
  </si>
  <si>
    <t>Christi Austin</t>
  </si>
  <si>
    <t>Charles Goan</t>
  </si>
  <si>
    <t>Carolyn White</t>
  </si>
  <si>
    <t>Brian Smithers</t>
  </si>
  <si>
    <t>Robert Gore</t>
  </si>
  <si>
    <t>Robert Manning</t>
  </si>
  <si>
    <t>Robert Stein</t>
  </si>
  <si>
    <t>William Leeds</t>
  </si>
  <si>
    <t>Bev Brown</t>
  </si>
  <si>
    <t>Betty Weaver</t>
  </si>
  <si>
    <t>Betty Cummins</t>
  </si>
  <si>
    <t>Pauline Helton</t>
  </si>
  <si>
    <t>Nuala Golic</t>
  </si>
  <si>
    <t>Mary Tompkins</t>
  </si>
  <si>
    <t>Margaret Sullivan</t>
  </si>
  <si>
    <t>Jane Mowery</t>
  </si>
  <si>
    <t>Ellen Kiely</t>
  </si>
  <si>
    <t>Alexandra Smyth</t>
  </si>
  <si>
    <t>Al Miller</t>
  </si>
  <si>
    <t>Guests</t>
  </si>
  <si>
    <t>Relation</t>
  </si>
  <si>
    <t>RSVP</t>
  </si>
  <si>
    <t>Adults</t>
  </si>
  <si>
    <t>Kids</t>
  </si>
  <si>
    <t>Rev. &amp; Mrs. Cook</t>
  </si>
  <si>
    <t>Mary Lee Rumage</t>
  </si>
  <si>
    <t>Jo Mai Kelleher</t>
  </si>
  <si>
    <t>Jim &amp; Pat Heatherly</t>
  </si>
  <si>
    <t>Fred &amp; Diane Martin</t>
  </si>
  <si>
    <t>Elizabeth Ann Rose</t>
  </si>
  <si>
    <t xml:space="preserve">Chris &amp; Tony </t>
  </si>
  <si>
    <t>Wedding Guest Attendance Analysis</t>
  </si>
  <si>
    <t>Total Attending Adults</t>
  </si>
  <si>
    <t>Total Attending Children</t>
  </si>
  <si>
    <t>Total Attending Guests</t>
  </si>
  <si>
    <t>Adult Reception Cost</t>
  </si>
  <si>
    <t>Child Reception Cost</t>
  </si>
  <si>
    <t>Reception Subtotal</t>
  </si>
  <si>
    <t>Sales Tax (8.25%)</t>
  </si>
  <si>
    <t>Total Reception Cost</t>
  </si>
  <si>
    <t>Attending Guest</t>
  </si>
  <si>
    <t>Guest Type</t>
  </si>
  <si>
    <t>Number Attending</t>
  </si>
  <si>
    <t>Children</t>
  </si>
  <si>
    <t>Total Guests</t>
  </si>
  <si>
    <t>Confirmed Guests</t>
  </si>
  <si>
    <t>RSVP Status</t>
  </si>
  <si>
    <t>Data Validation</t>
  </si>
  <si>
    <t xml:space="preserve">Confirmed Guests Check </t>
  </si>
  <si>
    <t>Original Attendance Total</t>
  </si>
  <si>
    <t>Validation Result</t>
  </si>
  <si>
    <t>WEDDING GUEST ANALYTICS DASHBOARD</t>
  </si>
  <si>
    <t>Jane &amp; Joe | Guest Attendance and Reception Budget</t>
  </si>
  <si>
    <t>Attending Adults</t>
  </si>
  <si>
    <t>Attending Children</t>
  </si>
  <si>
    <t>Attending RSVPs</t>
  </si>
  <si>
    <t>Declined RSVPs</t>
  </si>
  <si>
    <t>Relationship</t>
  </si>
  <si>
    <t>Total</t>
  </si>
  <si>
    <t>Row Labels</t>
  </si>
  <si>
    <t>Grand Total</t>
  </si>
  <si>
    <t>Sum of Confirmed Guests</t>
  </si>
  <si>
    <t>Attendance Overview</t>
  </si>
  <si>
    <t>Guest Relationship Analysis</t>
  </si>
  <si>
    <t>Interactive Filters</t>
  </si>
  <si>
    <t>Select a relationship category to filter the Interactive Attendance by Inviter chart. Other metrics display overall totals.</t>
  </si>
  <si>
    <t>RSVP Acceptance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</si>
</sst>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9">
    <font>
      <sz val="11"/>
      <color theme="1"/>
      <name val="Calibri"/>
      <family val="2"/>
      <scheme val="minor"/>
    </font>
    <font>
      <b/>
      <sz val="11"/>
      <color theme="1"/>
      <name val="Calibri"/>
      <family val="2"/>
      <scheme val="minor"/>
    </font>
    <font>
      <sz val="10"/>
      <color theme="1"/>
      <name val="Arial Unicode MS"/>
    </font>
    <font>
      <b/>
      <sz val="20"/>
      <color theme="0"/>
      <name val="Calibri"/>
      <family val="2"/>
      <scheme val="minor"/>
    </font>
    <font>
      <sz val="11"/>
      <color rgb="FF168A8A"/>
      <name val="Calibri"/>
      <family val="2"/>
      <scheme val="minor"/>
    </font>
    <font>
      <b/>
      <sz val="11"/>
      <color rgb="FF17324D"/>
      <name val="Calibri"/>
      <family val="2"/>
      <scheme val="minor"/>
    </font>
    <font>
      <sz val="22"/>
      <color rgb="FF168A8A"/>
      <name val="Calibri"/>
      <family val="2"/>
      <scheme val="minor"/>
    </font>
    <font>
      <sz val="24"/>
      <color rgb="FF168A8A"/>
      <name val="Calibri"/>
      <family val="2"/>
      <scheme val="minor"/>
    </font>
    <font>
      <b/>
      <sz val="12"/>
      <color rgb="FF17324D"/>
      <name val="Calibri"/>
      <family val="2"/>
      <scheme val="minor"/>
    </font>
  </fonts>
  <fills count="5">
    <fill>
      <patternFill patternType="none"/>
    </fill>
    <fill>
      <patternFill patternType="gray125"/>
    </fill>
    <fill>
      <patternFill patternType="solid">
        <fgColor rgb="FF17324D"/>
        <bgColor indexed="64"/>
      </patternFill>
    </fill>
    <fill>
      <patternFill patternType="solid">
        <fgColor theme="0"/>
        <bgColor indexed="64"/>
      </patternFill>
    </fill>
    <fill>
      <patternFill patternType="solid">
        <fgColor rgb="FFF2F5F8"/>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164" fontId="0" fillId="0" borderId="0" xfId="0" applyNumberFormat="1"/>
    <xf numFmtId="0" fontId="1" fillId="0" borderId="0" xfId="0" applyFont="1"/>
    <xf numFmtId="164" fontId="1" fillId="0" borderId="0" xfId="0" applyNumberFormat="1" applyFont="1"/>
    <xf numFmtId="0" fontId="2" fillId="0" borderId="0" xfId="0" applyFont="1" applyAlignment="1">
      <alignment vertical="center"/>
    </xf>
    <xf numFmtId="0" fontId="0" fillId="0" borderId="0" xfId="0" pivotButton="1"/>
    <xf numFmtId="0" fontId="4" fillId="3" borderId="0" xfId="0" applyFont="1" applyFill="1"/>
    <xf numFmtId="0" fontId="0" fillId="4" borderId="0" xfId="0" applyFill="1"/>
    <xf numFmtId="0" fontId="5" fillId="4" borderId="0" xfId="0" applyFont="1" applyFill="1"/>
    <xf numFmtId="0" fontId="6" fillId="4" borderId="0" xfId="0" applyFont="1" applyFill="1"/>
    <xf numFmtId="0" fontId="4" fillId="4" borderId="0" xfId="0" applyFont="1" applyFill="1"/>
    <xf numFmtId="0" fontId="7" fillId="4" borderId="0" xfId="0" applyFont="1" applyFill="1"/>
    <xf numFmtId="164" fontId="7" fillId="4" borderId="0" xfId="0" applyNumberFormat="1" applyFont="1" applyFill="1"/>
    <xf numFmtId="165" fontId="7" fillId="4" borderId="0" xfId="0" applyNumberFormat="1" applyFont="1" applyFill="1"/>
    <xf numFmtId="0" fontId="8" fillId="0" borderId="0" xfId="0" applyFont="1"/>
    <xf numFmtId="0" fontId="8" fillId="3" borderId="0" xfId="0" applyFont="1" applyFill="1"/>
    <xf numFmtId="0" fontId="3"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5">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17324D"/>
      <color rgb="FF168A8A"/>
      <color rgb="FFF2F5F8"/>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a:t>
            </a:r>
            <a:r>
              <a:rPr lang="en-US" baseline="0"/>
              <a:t> Wedding Guests by Inviter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'Attendance Summary'!$E$2</c:f>
              <c:strCache>
                <c:ptCount val="1"/>
                <c:pt idx="0">
                  <c:v>Attending Guest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Summary'!$D$3:$D$4</c:f>
              <c:strCache>
                <c:ptCount val="2"/>
                <c:pt idx="0">
                  <c:v>Bride</c:v>
                </c:pt>
                <c:pt idx="1">
                  <c:v>Groom</c:v>
                </c:pt>
              </c:strCache>
            </c:strRef>
          </c:cat>
          <c:val>
            <c:numRef>
              <c:f>'Attendance Summary'!$E$3:$E$4</c:f>
              <c:numCache>
                <c:formatCode>General</c:formatCode>
                <c:ptCount val="2"/>
                <c:pt idx="0">
                  <c:v>50</c:v>
                </c:pt>
                <c:pt idx="1">
                  <c:v>62</c:v>
                </c:pt>
              </c:numCache>
            </c:numRef>
          </c:val>
          <c:extLst>
            <c:ext xmlns:c16="http://schemas.microsoft.com/office/drawing/2014/chart" uri="{C3380CC4-5D6E-409C-BE32-E72D297353CC}">
              <c16:uniqueId val="{00000000-8908-4311-97C2-2491760E9E31}"/>
            </c:ext>
          </c:extLst>
        </c:ser>
        <c:dLbls>
          <c:dLblPos val="outEnd"/>
          <c:showLegendKey val="0"/>
          <c:showVal val="1"/>
          <c:showCatName val="0"/>
          <c:showSerName val="0"/>
          <c:showPercent val="0"/>
          <c:showBubbleSize val="0"/>
        </c:dLbls>
        <c:gapWidth val="219"/>
        <c:overlap val="-27"/>
        <c:axId val="658594384"/>
        <c:axId val="658592944"/>
      </c:barChart>
      <c:catAx>
        <c:axId val="65859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2944"/>
        <c:crosses val="autoZero"/>
        <c:auto val="1"/>
        <c:lblAlgn val="ctr"/>
        <c:lblOffset val="100"/>
        <c:noMultiLvlLbl val="0"/>
      </c:catAx>
      <c:valAx>
        <c:axId val="65859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Guests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Wedding Attendance:</a:t>
            </a:r>
            <a:r>
              <a:rPr lang="en-US" baseline="0"/>
              <a:t> Adults vs.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'Attendance Summary'!$E$7</c:f>
              <c:strCache>
                <c:ptCount val="1"/>
                <c:pt idx="0">
                  <c:v>Number Attending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4-4282-9B17-D1F559910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37-4DA1-982D-0D90CA295867}"/>
              </c:ext>
            </c:extLst>
          </c:dPt>
          <c:dLbls>
            <c:dLbl>
              <c:idx val="0"/>
              <c:layout>
                <c:manualLayout>
                  <c:x val="-0.11351815398075246"/>
                  <c:y val="-0.2252085156022163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44-4282-9B17-D1F559910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'Attendance Summary'!$D$8:$D$9</c:f>
              <c:strCache>
                <c:ptCount val="2"/>
                <c:pt idx="0">
                  <c:v>Adults</c:v>
                </c:pt>
                <c:pt idx="1">
                  <c:v>Children</c:v>
                </c:pt>
              </c:strCache>
            </c:strRef>
          </c:cat>
          <c:val>
            <c:numRef>
              <c:f>'Attendance Summary'!$E$8:$E$9</c:f>
              <c:numCache>
                <c:formatCode>General</c:formatCode>
                <c:ptCount val="2"/>
                <c:pt idx="0">
                  <c:v>102</c:v>
                </c:pt>
                <c:pt idx="1">
                  <c:v>10</c:v>
                </c:pt>
              </c:numCache>
            </c:numRef>
          </c:val>
          <c:extLst>
            <c:ext xmlns:c16="http://schemas.microsoft.com/office/drawing/2014/chart" uri="{C3380CC4-5D6E-409C-BE32-E72D297353CC}">
              <c16:uniqueId val="{00000000-B744-4282-9B17-D1F55991065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Guest</a:t>
            </a:r>
            <a:r>
              <a:rPr lang="en-US" baseline="0"/>
              <a:t> Composition: Adult vs.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'Attendance Summary'!$E$7</c:f>
              <c:strCache>
                <c:ptCount val="1"/>
                <c:pt idx="0">
                  <c:v>Number Attending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40F-45BD-BD32-52A228B493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140F-45BD-BD32-52A228B49381}"/>
              </c:ext>
            </c:extLst>
          </c:dPt>
          <c:dLbls>
            <c:dLbl>
              <c:idx val="0"/>
              <c:tx>
                <c:rich>
                  <a:bodyPr/>
                  <a:lstStyle/>
                  <a:p>
                    <a:fld id="{B91E1938-3A23-4093-B86B-31B9ACF3707D}" type="CATEGORYNAME">
                      <a:rPr lang="en-US" b="1"/>
                      <a:pPr/>
                      <a:t>[CATEGORY NAME]</a:t>
                    </a:fld>
                    <a:r>
                      <a:rPr lang="en-US" baseline="0"/>
                      <a:t>, </a:t>
                    </a:r>
                    <a:fld id="{D3C9CA3F-2D94-4689-B853-C9F061F30842}" type="VALUE">
                      <a:rPr lang="en-US" b="1" baseline="0"/>
                      <a:pPr/>
                      <a:t>[VALUE]</a:t>
                    </a:fld>
                    <a:r>
                      <a:rPr lang="en-US" baseline="0"/>
                      <a:t>, </a:t>
                    </a:r>
                    <a:fld id="{55E8AA58-DE8E-41EB-BE80-681A8553B93C}" type="PERCENTAGE">
                      <a:rPr lang="en-US" b="1"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40F-45BD-BD32-52A228B49381}"/>
                </c:ext>
              </c:extLst>
            </c:dLbl>
            <c:dLbl>
              <c:idx val="1"/>
              <c:layout>
                <c:manualLayout>
                  <c:x val="-3.8888888888888938E-2"/>
                  <c:y val="-5.555555555555558E-2"/>
                </c:manualLayout>
              </c:layout>
              <c:tx>
                <c:rich>
                  <a:bodyPr/>
                  <a:lstStyle/>
                  <a:p>
                    <a:fld id="{962E6015-9DB8-46D4-8794-642CA6378B96}" type="CATEGORYNAME">
                      <a:rPr lang="en-US" b="1"/>
                      <a:pPr/>
                      <a:t>[CATEGORY NAME]</a:t>
                    </a:fld>
                    <a:r>
                      <a:rPr lang="en-US" baseline="0"/>
                      <a:t>, </a:t>
                    </a:r>
                    <a:fld id="{B2A9F051-7D16-4593-8E0D-FC358D41A360}" type="VALUE">
                      <a:rPr lang="en-US" b="1" baseline="0"/>
                      <a:pPr/>
                      <a:t>[VALUE]</a:t>
                    </a:fld>
                    <a:r>
                      <a:rPr lang="en-US" baseline="0"/>
                      <a:t>, </a:t>
                    </a:r>
                    <a:fld id="{1AB980A8-E058-4F68-8F15-DEB13E626F14}" type="PERCENTAGE">
                      <a:rPr lang="en-US" b="1"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40F-45BD-BD32-52A228B493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'Attendance Summary'!$D$8:$D$9</c:f>
              <c:strCache>
                <c:ptCount val="2"/>
                <c:pt idx="0">
                  <c:v>Adults</c:v>
                </c:pt>
                <c:pt idx="1">
                  <c:v>Children</c:v>
                </c:pt>
              </c:strCache>
            </c:strRef>
          </c:cat>
          <c:val>
            <c:numRef>
              <c:f>'Attendance Summary'!$E$8:$E$9</c:f>
              <c:numCache>
                <c:formatCode>General</c:formatCode>
                <c:ptCount val="2"/>
                <c:pt idx="0">
                  <c:v>102</c:v>
                </c:pt>
                <c:pt idx="1">
                  <c:v>10</c:v>
                </c:pt>
              </c:numCache>
            </c:numRef>
          </c:val>
          <c:extLst>
            <c:ext xmlns:c16="http://schemas.microsoft.com/office/drawing/2014/chart" uri="{C3380CC4-5D6E-409C-BE32-E72D297353CC}">
              <c16:uniqueId val="{00000000-140F-45BD-BD32-52A228B493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 Attendance</a:t>
            </a:r>
            <a:r>
              <a:rPr lang="en-US" baseline="0"/>
              <a:t> by Relationship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'Attendance Summary'!$E$12</c:f>
              <c:strCache>
                <c:ptCount val="1"/>
                <c:pt idx="0">
                  <c:v>Confirmed Guests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Summary'!$D$13:$D$15</c:f>
              <c:strCache>
                <c:ptCount val="3"/>
                <c:pt idx="0">
                  <c:v>Colleague</c:v>
                </c:pt>
                <c:pt idx="1">
                  <c:v>Family</c:v>
                </c:pt>
                <c:pt idx="2">
                  <c:v>Friend</c:v>
                </c:pt>
              </c:strCache>
            </c:strRef>
          </c:cat>
          <c:val>
            <c:numRef>
              <c:f>'Attendance Summary'!$E$13:$E$15</c:f>
              <c:numCache>
                <c:formatCode>General</c:formatCode>
                <c:ptCount val="3"/>
                <c:pt idx="0">
                  <c:v>45</c:v>
                </c:pt>
                <c:pt idx="1">
                  <c:v>24</c:v>
                </c:pt>
                <c:pt idx="2">
                  <c:v>43</c:v>
                </c:pt>
              </c:numCache>
            </c:numRef>
          </c:val>
          <c:extLst>
            <c:ext xmlns:c16="http://schemas.microsoft.com/office/drawing/2014/chart" uri="{C3380CC4-5D6E-409C-BE32-E72D297353CC}">
              <c16:uniqueId val="{00000000-D682-4BBA-A451-274CC17755B9}"/>
            </c:ext>
          </c:extLst>
        </c:ser>
        <c:dLbls>
          <c:dLblPos val="outEnd"/>
          <c:showLegendKey val="0"/>
          <c:showVal val="1"/>
          <c:showCatName val="0"/>
          <c:showSerName val="0"/>
          <c:showPercent val="0"/>
          <c:showBubbleSize val="0"/>
        </c:dLbls>
        <c:gapWidth val="219"/>
        <c:overlap val="-27"/>
        <c:axId val="860323503"/>
        <c:axId val="860322543"/>
      </c:barChart>
      <c:catAx>
        <c:axId val="86032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Guests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2543"/>
        <c:crosses val="autoZero"/>
        <c:auto val="1"/>
        <c:lblAlgn val="ctr"/>
        <c:lblOffset val="100"/>
        <c:noMultiLvlLbl val="0"/>
      </c:catAx>
      <c:valAx>
        <c:axId val="86032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a:t>
            </a:r>
            <a:r>
              <a:rPr lang="en-US" baseline="0"/>
              <a:t> Wedding Guests by Inviter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'Attendance Summary'!$E$2</c:f>
              <c:strCache>
                <c:ptCount val="1"/>
                <c:pt idx="0">
                  <c:v>Attending Guest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Summary'!$D$3:$D$4</c:f>
              <c:strCache>
                <c:ptCount val="2"/>
                <c:pt idx="0">
                  <c:v>Bride</c:v>
                </c:pt>
                <c:pt idx="1">
                  <c:v>Groom</c:v>
                </c:pt>
              </c:strCache>
            </c:strRef>
          </c:cat>
          <c:val>
            <c:numRef>
              <c:f>'Attendance Summary'!$E$3:$E$4</c:f>
              <c:numCache>
                <c:formatCode>General</c:formatCode>
                <c:ptCount val="2"/>
                <c:pt idx="0">
                  <c:v>50</c:v>
                </c:pt>
                <c:pt idx="1">
                  <c:v>62</c:v>
                </c:pt>
              </c:numCache>
            </c:numRef>
          </c:val>
          <c:extLst>
            <c:ext xmlns:c16="http://schemas.microsoft.com/office/drawing/2014/chart" uri="{C3380CC4-5D6E-409C-BE32-E72D297353CC}">
              <c16:uniqueId val="{00000000-3065-46B4-9C6F-5794946DAAA0}"/>
            </c:ext>
          </c:extLst>
        </c:ser>
        <c:dLbls>
          <c:dLblPos val="outEnd"/>
          <c:showLegendKey val="0"/>
          <c:showVal val="1"/>
          <c:showCatName val="0"/>
          <c:showSerName val="0"/>
          <c:showPercent val="0"/>
          <c:showBubbleSize val="0"/>
        </c:dLbls>
        <c:gapWidth val="219"/>
        <c:overlap val="-27"/>
        <c:axId val="658594384"/>
        <c:axId val="658592944"/>
      </c:barChart>
      <c:catAx>
        <c:axId val="65859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2944"/>
        <c:crosses val="autoZero"/>
        <c:auto val="1"/>
        <c:lblAlgn val="ctr"/>
        <c:lblOffset val="100"/>
        <c:noMultiLvlLbl val="0"/>
      </c:catAx>
      <c:valAx>
        <c:axId val="65859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Guests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Guest</a:t>
            </a:r>
            <a:r>
              <a:rPr lang="en-US" baseline="0"/>
              <a:t> Composition: Adult vs.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'Attendance Summary'!$E$7</c:f>
              <c:strCache>
                <c:ptCount val="1"/>
                <c:pt idx="0">
                  <c:v>Number Attending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53-4A81-A9F0-0A5767977E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53-4A81-A9F0-0A5767977E02}"/>
              </c:ext>
            </c:extLst>
          </c:dPt>
          <c:dLbls>
            <c:dLbl>
              <c:idx val="0"/>
              <c:tx>
                <c:rich>
                  <a:bodyPr/>
                  <a:lstStyle/>
                  <a:p>
                    <a:fld id="{B91E1938-3A23-4093-B86B-31B9ACF3707D}" type="CATEGORYNAME">
                      <a:rPr lang="en-US" b="1"/>
                      <a:pPr/>
                      <a:t>[CATEGORY NAME]</a:t>
                    </a:fld>
                    <a:r>
                      <a:rPr lang="en-US" baseline="0"/>
                      <a:t>, </a:t>
                    </a:r>
                    <a:fld id="{D3C9CA3F-2D94-4689-B853-C9F061F30842}" type="VALUE">
                      <a:rPr lang="en-US" b="1" baseline="0"/>
                      <a:pPr/>
                      <a:t>[VALUE]</a:t>
                    </a:fld>
                    <a:r>
                      <a:rPr lang="en-US" baseline="0"/>
                      <a:t>, </a:t>
                    </a:r>
                    <a:fld id="{55E8AA58-DE8E-41EB-BE80-681A8553B93C}" type="PERCENTAGE">
                      <a:rPr lang="en-US" b="1"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653-4A81-A9F0-0A5767977E02}"/>
                </c:ext>
              </c:extLst>
            </c:dLbl>
            <c:dLbl>
              <c:idx val="1"/>
              <c:layout>
                <c:manualLayout>
                  <c:x val="-3.8888888888888938E-2"/>
                  <c:y val="-5.555555555555558E-2"/>
                </c:manualLayout>
              </c:layout>
              <c:tx>
                <c:rich>
                  <a:bodyPr/>
                  <a:lstStyle/>
                  <a:p>
                    <a:fld id="{962E6015-9DB8-46D4-8794-642CA6378B96}" type="CATEGORYNAME">
                      <a:rPr lang="en-US" b="1"/>
                      <a:pPr/>
                      <a:t>[CATEGORY NAME]</a:t>
                    </a:fld>
                    <a:r>
                      <a:rPr lang="en-US" baseline="0"/>
                      <a:t>, </a:t>
                    </a:r>
                    <a:fld id="{B2A9F051-7D16-4593-8E0D-FC358D41A360}" type="VALUE">
                      <a:rPr lang="en-US" b="1" baseline="0"/>
                      <a:pPr/>
                      <a:t>[VALUE]</a:t>
                    </a:fld>
                    <a:r>
                      <a:rPr lang="en-US" baseline="0"/>
                      <a:t>, </a:t>
                    </a:r>
                    <a:fld id="{1AB980A8-E058-4F68-8F15-DEB13E626F14}" type="PERCENTAGE">
                      <a:rPr lang="en-US" b="1"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653-4A81-A9F0-0A5767977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'Attendance Summary'!$D$8:$D$9</c:f>
              <c:strCache>
                <c:ptCount val="2"/>
                <c:pt idx="0">
                  <c:v>Adults</c:v>
                </c:pt>
                <c:pt idx="1">
                  <c:v>Children</c:v>
                </c:pt>
              </c:strCache>
            </c:strRef>
          </c:cat>
          <c:val>
            <c:numRef>
              <c:f>'Attendance Summary'!$E$8:$E$9</c:f>
              <c:numCache>
                <c:formatCode>General</c:formatCode>
                <c:ptCount val="2"/>
                <c:pt idx="0">
                  <c:v>102</c:v>
                </c:pt>
                <c:pt idx="1">
                  <c:v>10</c:v>
                </c:pt>
              </c:numCache>
            </c:numRef>
          </c:val>
          <c:extLst>
            <c:ext xmlns:c16="http://schemas.microsoft.com/office/drawing/2014/chart" uri="{C3380CC4-5D6E-409C-BE32-E72D297353CC}">
              <c16:uniqueId val="{00000004-D653-4A81-A9F0-0A5767977E0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 Attendance</a:t>
            </a:r>
            <a:r>
              <a:rPr lang="en-US" baseline="0"/>
              <a:t> by Relationship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'Attendance Summary'!$E$12</c:f>
              <c:strCache>
                <c:ptCount val="1"/>
                <c:pt idx="0">
                  <c:v>Confirmed Guests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Summary'!$D$13:$D$15</c:f>
              <c:strCache>
                <c:ptCount val="3"/>
                <c:pt idx="0">
                  <c:v>Colleague</c:v>
                </c:pt>
                <c:pt idx="1">
                  <c:v>Family</c:v>
                </c:pt>
                <c:pt idx="2">
                  <c:v>Friend</c:v>
                </c:pt>
              </c:strCache>
            </c:strRef>
          </c:cat>
          <c:val>
            <c:numRef>
              <c:f>'Attendance Summary'!$E$13:$E$15</c:f>
              <c:numCache>
                <c:formatCode>General</c:formatCode>
                <c:ptCount val="3"/>
                <c:pt idx="0">
                  <c:v>45</c:v>
                </c:pt>
                <c:pt idx="1">
                  <c:v>24</c:v>
                </c:pt>
                <c:pt idx="2">
                  <c:v>43</c:v>
                </c:pt>
              </c:numCache>
            </c:numRef>
          </c:val>
          <c:extLst>
            <c:ext xmlns:c16="http://schemas.microsoft.com/office/drawing/2014/chart" uri="{C3380CC4-5D6E-409C-BE32-E72D297353CC}">
              <c16:uniqueId val="{00000000-8CF0-439C-A565-1109D7B7FCC2}"/>
            </c:ext>
          </c:extLst>
        </c:ser>
        <c:dLbls>
          <c:dLblPos val="outEnd"/>
          <c:showLegendKey val="0"/>
          <c:showVal val="1"/>
          <c:showCatName val="0"/>
          <c:showSerName val="0"/>
          <c:showPercent val="0"/>
          <c:showBubbleSize val="0"/>
        </c:dLbls>
        <c:gapWidth val="219"/>
        <c:overlap val="-27"/>
        <c:axId val="860323503"/>
        <c:axId val="860322543"/>
      </c:barChart>
      <c:catAx>
        <c:axId val="86032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Guests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2543"/>
        <c:crosses val="autoZero"/>
        <c:auto val="1"/>
        <c:lblAlgn val="ctr"/>
        <c:lblOffset val="100"/>
        <c:noMultiLvlLbl val="0"/>
      </c:catAx>
      <c:valAx>
        <c:axId val="86032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[Wedding_Guest_Analytics_Dashboard.xlsx]Pivot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Interactive Attendance by Inviter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Analysis'!$A$4:$A$6</c:f>
              <c:strCache>
                <c:ptCount val="2"/>
                <c:pt idx="0">
                  <c:v>Bride</c:v>
                </c:pt>
                <c:pt idx="1">
                  <c:v>Groom</c:v>
                </c:pt>
              </c:strCache>
            </c:strRef>
          </c:cat>
          <c:val>
            <c:numRef>
              <c:f>'Pivot Analysis'!$B$4:$B$6</c:f>
              <c:numCache>
                <c:formatCode>General</c:formatCode>
                <c:ptCount val="2"/>
                <c:pt idx="0">
                  <c:v>50</c:v>
                </c:pt>
                <c:pt idx="1">
                  <c:v>62</c:v>
                </c:pt>
              </c:numCache>
            </c:numRef>
          </c:val>
          <c:extLst>
            <c:ext xmlns:c16="http://schemas.microsoft.com/office/drawing/2014/chart" uri="{C3380CC4-5D6E-409C-BE32-E72D297353CC}">
              <c16:uniqueId val="{00000000-A8FE-4DF5-894C-C01A88BD8CB6}"/>
            </c:ext>
          </c:extLst>
        </c:ser>
        <c:dLbls>
          <c:dLblPos val="outEnd"/>
          <c:showLegendKey val="0"/>
          <c:showVal val="1"/>
          <c:showCatName val="0"/>
          <c:showSerName val="0"/>
          <c:showPercent val="0"/>
          <c:showBubbleSize val="0"/>
        </c:dLbls>
        <c:gapWidth val="219"/>
        <c:overlap val="-27"/>
        <c:axId val="278667504"/>
        <c:axId val="278659824"/>
      </c:barChart>
      <c:catAx>
        <c:axId val="2786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59824"/>
        <c:crosses val="autoZero"/>
        <c:auto val="1"/>
        <c:lblAlgn val="ctr"/>
        <c:lblOffset val="100"/>
        <c:noMultiLvlLbl val="0"/>
      </c:catAx>
      <c:valAx>
        <c:axId val="27865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6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15875</xdr:colOff>
      <xdr:row>18</xdr:row>
      <xdr:rowOff>146050</xdr:rowOff>
    </xdr:from>
    <xdr:to>
      <xdr:col>4</xdr:col>
      <xdr:colOff>581025</xdr:colOff>
      <xdr:row>34</xdr:row>
      <xdr:rowOff>57150</xdr:rowOff>
    </xdr:to>
    <xdr:graphicFrame macro="">
      <xdr:nvGraphicFramePr>
        <xdr:cNvPr id="2" name="Chart 1">
          <a:extLst>
            <a:ext uri="{FF2B5EF4-FFF2-40B4-BE49-F238E27FC236}">
              <a16:creationId xmlns:a16="http://schemas.microsoft.com/office/drawing/2014/main" id="{F3AAF406-27FF-46C5-F573-724C61A1E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485775</xdr:colOff>
      <xdr:row>30</xdr:row>
      <xdr:rowOff>76200</xdr:rowOff>
    </xdr:from>
    <xdr:to>
      <xdr:col>9</xdr:col>
      <xdr:colOff>168275</xdr:colOff>
      <xdr:row>45</xdr:row>
      <xdr:rowOff>57150</xdr:rowOff>
    </xdr:to>
    <xdr:graphicFrame macro="">
      <xdr:nvGraphicFramePr>
        <xdr:cNvPr id="3" name="Chart 2">
          <a:extLst>
            <a:ext uri="{FF2B5EF4-FFF2-40B4-BE49-F238E27FC236}">
              <a16:creationId xmlns:a16="http://schemas.microsoft.com/office/drawing/2014/main" id="{3C2C09E6-A363-BB1F-7B1D-B1FCBFB58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177800</xdr:colOff>
      <xdr:row>30</xdr:row>
      <xdr:rowOff>69850</xdr:rowOff>
    </xdr:from>
    <xdr:to>
      <xdr:col>16</xdr:col>
      <xdr:colOff>482600</xdr:colOff>
      <xdr:row>45</xdr:row>
      <xdr:rowOff>50800</xdr:rowOff>
    </xdr:to>
    <xdr:graphicFrame macro="">
      <xdr:nvGraphicFramePr>
        <xdr:cNvPr id="4" name="Chart 3">
          <a:extLst>
            <a:ext uri="{FF2B5EF4-FFF2-40B4-BE49-F238E27FC236}">
              <a16:creationId xmlns:a16="http://schemas.microsoft.com/office/drawing/2014/main" id="{5C5247EB-B604-8A64-113C-5EC73A1E5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523875</xdr:colOff>
      <xdr:row>7</xdr:row>
      <xdr:rowOff>82550</xdr:rowOff>
    </xdr:from>
    <xdr:to>
      <xdr:col>4</xdr:col>
      <xdr:colOff>923925</xdr:colOff>
      <xdr:row>22</xdr:row>
      <xdr:rowOff>63500</xdr:rowOff>
    </xdr:to>
    <xdr:graphicFrame macro="">
      <xdr:nvGraphicFramePr>
        <xdr:cNvPr id="5" name="Chart 4">
          <a:extLst>
            <a:ext uri="{FF2B5EF4-FFF2-40B4-BE49-F238E27FC236}">
              <a16:creationId xmlns:a16="http://schemas.microsoft.com/office/drawing/2014/main" id="{317D9C26-C22A-6DDA-B039-510CB1134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4</xdr:col>
      <xdr:colOff>12700</xdr:colOff>
      <xdr:row>31</xdr:row>
      <xdr:rowOff>163830</xdr:rowOff>
    </xdr:to>
    <xdr:graphicFrame macro="">
      <xdr:nvGraphicFramePr>
        <xdr:cNvPr id="2" name="Chart 1">
          <a:extLst>
            <a:ext uri="{FF2B5EF4-FFF2-40B4-BE49-F238E27FC236}">
              <a16:creationId xmlns:a16="http://schemas.microsoft.com/office/drawing/2014/main" id="{BC0B8090-2731-4827-AEF2-028D68B7D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16</xdr:row>
      <xdr:rowOff>0</xdr:rowOff>
    </xdr:from>
    <xdr:to>
      <xdr:col>11</xdr:col>
      <xdr:colOff>44450</xdr:colOff>
      <xdr:row>31</xdr:row>
      <xdr:rowOff>163830</xdr:rowOff>
    </xdr:to>
    <xdr:graphicFrame macro="">
      <xdr:nvGraphicFramePr>
        <xdr:cNvPr id="3" name="Chart 2">
          <a:extLst>
            <a:ext uri="{FF2B5EF4-FFF2-40B4-BE49-F238E27FC236}">
              <a16:creationId xmlns:a16="http://schemas.microsoft.com/office/drawing/2014/main" id="{F6A764C0-6366-4A8F-B5BF-EEAD0EFFA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4</xdr:col>
      <xdr:colOff>12700</xdr:colOff>
      <xdr:row>50</xdr:row>
      <xdr:rowOff>163830</xdr:rowOff>
    </xdr:to>
    <xdr:graphicFrame macro="">
      <xdr:nvGraphicFramePr>
        <xdr:cNvPr id="5" name="Chart 4">
          <a:extLst>
            <a:ext uri="{FF2B5EF4-FFF2-40B4-BE49-F238E27FC236}">
              <a16:creationId xmlns:a16="http://schemas.microsoft.com/office/drawing/2014/main" id="{7EA695BD-8ABF-4665-BCA8-B188F2CD0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35</xdr:row>
      <xdr:rowOff>0</xdr:rowOff>
    </xdr:from>
    <xdr:to>
      <xdr:col>11</xdr:col>
      <xdr:colOff>44450</xdr:colOff>
      <xdr:row>50</xdr:row>
      <xdr:rowOff>163830</xdr:rowOff>
    </xdr:to>
    <xdr:graphicFrame macro="">
      <xdr:nvGraphicFramePr>
        <xdr:cNvPr id="4" name="Chart 3">
          <a:extLst>
            <a:ext uri="{FF2B5EF4-FFF2-40B4-BE49-F238E27FC236}">
              <a16:creationId xmlns:a16="http://schemas.microsoft.com/office/drawing/2014/main" id="{25D79327-7D7D-4DA0-9EA8-F6D881F7F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55</xdr:row>
      <xdr:rowOff>0</xdr:rowOff>
    </xdr:from>
    <xdr:to>
      <xdr:col>0</xdr:col>
      <xdr:colOff>1828800</xdr:colOff>
      <xdr:row>68</xdr:row>
      <xdr:rowOff>130175</xdr:rowOff>
    </xdr:to>
    <mc:AlternateContent xmlns:mc="http://schemas.openxmlformats.org/markup-compatibility/2006" xmlns:a14="http://schemas.microsoft.com/office/drawing/2010/main">
      <mc:Choice Requires="a14">
        <xdr:graphicFrame macro="">
          <xdr:nvGraphicFramePr>
            <xdr:cNvPr id="6" name="Relation">
              <a:extLst>
                <a:ext uri="{FF2B5EF4-FFF2-40B4-BE49-F238E27FC236}">
                  <a16:creationId xmlns:a16="http://schemas.microsoft.com/office/drawing/2014/main" id="{B3CE102D-9307-49D1-A76D-6210A0ADF17A}"/>
                </a:ext>
              </a:extLst>
            </xdr:cNvPr>
            <xdr:cNvGraphicFramePr/>
          </xdr:nvGraphicFramePr>
          <xdr:xfrm>
            <a:off x="0" y="0"/>
            <a:ext cx="0" cy="0"/>
          </xdr:xfrm>
          <a:graphic>
            <a:graphicData uri="http://schemas.microsoft.com/office/drawing/2010/slicer">
              <sle:slicer xmlns:sle="http://schemas.microsoft.com/office/drawing/2010/slicer" name="Relation"/>
            </a:graphicData>
          </a:graphic>
        </xdr:graphicFrame>
      </mc:Choice>
      <mc:Fallback xmlns="">
        <xdr:sp macro="" textlink="">
          <xdr:nvSpPr>
            <xdr:cNvPr id="0" name=""/>
            <xdr:cNvSpPr>
              <a:spLocks noTextEdit="1"/>
            </xdr:cNvSpPr>
          </xdr:nvSpPr>
          <xdr:spPr>
            <a:xfrm>
              <a:off x="0" y="11150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ana Ward" refreshedDate="46317.709643402777" createdVersion="8" refreshedVersion="8" minRefreshableVersion="3" recordCount="126" xr:uid="{13893032-E350-4D6B-A61E-FAD9970B2450}">
  <cacheSource type="worksheet">
    <worksheetSource name="WeddingGuests"/>
  </cacheSource>
  <cacheFields count="9">
    <cacheField name="Guests" numFmtId="0">
      <sharedItems/>
    </cacheField>
    <cacheField name="Invited By" numFmtId="0">
      <sharedItems count="2">
        <s v="Bride"/>
        <s v="Groom"/>
      </sharedItems>
    </cacheField>
    <cacheField name="Relation" numFmtId="0">
      <sharedItems count="3">
        <s v="Colleague"/>
        <s v="Family"/>
        <s v="Friend"/>
      </sharedItems>
    </cacheField>
    <cacheField name="RSVP" numFmtId="0">
      <sharedItems/>
    </cacheField>
    <cacheField name="Adults" numFmtId="0">
      <sharedItems containsSemiMixedTypes="0" containsString="0" containsNumber="1" containsInteger="1" minValue="0" maxValue="4"/>
    </cacheField>
    <cacheField name="Kids" numFmtId="0">
      <sharedItems containsSemiMixedTypes="0" containsString="0" containsNumber="1" containsInteger="1" minValue="0" maxValue="3"/>
    </cacheField>
    <cacheField name="Total Guests" numFmtId="0">
      <sharedItems containsSemiMixedTypes="0" containsString="0" containsNumber="1" containsInteger="1" minValue="0" maxValue="5"/>
    </cacheField>
    <cacheField name="Confirmed Guests" numFmtId="0">
      <sharedItems containsSemiMixedTypes="0" containsString="0" containsNumber="1" containsInteger="1" minValue="0" maxValue="5"/>
    </cacheField>
    <cacheField name="RSVP Status" numFmtId="0">
      <sharedItems/>
    </cacheField>
  </cacheFields>
  <extLst>
    <ext xmlns:x14="http://schemas.microsoft.com/office/spreadsheetml/2009/9/main" uri="{725AE2AE-9491-48be-B2B4-4EB974FC3084}">
      <x14:pivotCacheDefinition pivotCacheId="1904796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William Shelton"/>
    <x v="0"/>
    <x v="0"/>
    <s v="N"/>
    <n v="0"/>
    <n v="0"/>
    <n v="0"/>
    <n v="0"/>
    <s v="Not Attending"/>
  </r>
  <r>
    <s v="Wanda Long"/>
    <x v="0"/>
    <x v="0"/>
    <s v="N"/>
    <n v="0"/>
    <n v="0"/>
    <n v="0"/>
    <n v="0"/>
    <s v="Not Attending"/>
  </r>
  <r>
    <s v="Virginia Billingsley"/>
    <x v="0"/>
    <x v="0"/>
    <s v="N"/>
    <n v="0"/>
    <n v="0"/>
    <n v="0"/>
    <n v="0"/>
    <s v="Not Attending"/>
  </r>
  <r>
    <s v="Susie Jones"/>
    <x v="0"/>
    <x v="0"/>
    <s v="N"/>
    <n v="0"/>
    <n v="0"/>
    <n v="0"/>
    <n v="0"/>
    <s v="Not Attending"/>
  </r>
  <r>
    <s v="Stephen Bowen"/>
    <x v="0"/>
    <x v="0"/>
    <s v="N"/>
    <n v="0"/>
    <n v="0"/>
    <n v="0"/>
    <n v="0"/>
    <s v="Not Attending"/>
  </r>
  <r>
    <s v="Shirley Irwin"/>
    <x v="0"/>
    <x v="0"/>
    <s v="Y"/>
    <n v="2"/>
    <n v="0"/>
    <n v="2"/>
    <n v="2"/>
    <s v="Attending"/>
  </r>
  <r>
    <s v="Shaun Elliot"/>
    <x v="0"/>
    <x v="0"/>
    <s v="Y"/>
    <n v="1"/>
    <n v="0"/>
    <n v="1"/>
    <n v="1"/>
    <s v="Attending"/>
  </r>
  <r>
    <s v="Ronald Maclean"/>
    <x v="0"/>
    <x v="0"/>
    <s v="N"/>
    <n v="0"/>
    <n v="0"/>
    <n v="0"/>
    <n v="0"/>
    <s v="Not Attending"/>
  </r>
  <r>
    <s v="Robert Martin"/>
    <x v="0"/>
    <x v="0"/>
    <s v="N"/>
    <n v="0"/>
    <n v="0"/>
    <n v="0"/>
    <n v="0"/>
    <s v="Not Attending"/>
  </r>
  <r>
    <s v="Richard Greene"/>
    <x v="0"/>
    <x v="0"/>
    <s v="N"/>
    <n v="0"/>
    <n v="0"/>
    <n v="0"/>
    <n v="0"/>
    <s v="Not Attending"/>
  </r>
  <r>
    <s v="Mary Lee Rumage"/>
    <x v="0"/>
    <x v="0"/>
    <s v="N"/>
    <n v="0"/>
    <n v="0"/>
    <n v="0"/>
    <n v="0"/>
    <s v="Not Attending"/>
  </r>
  <r>
    <s v="Lucy Pulliam"/>
    <x v="0"/>
    <x v="0"/>
    <s v="N"/>
    <n v="0"/>
    <n v="0"/>
    <n v="0"/>
    <n v="0"/>
    <s v="Not Attending"/>
  </r>
  <r>
    <s v="Linda Bowman"/>
    <x v="0"/>
    <x v="0"/>
    <s v="N"/>
    <n v="0"/>
    <n v="0"/>
    <n v="0"/>
    <n v="0"/>
    <s v="Not Attending"/>
  </r>
  <r>
    <s v="Laurie Hall"/>
    <x v="0"/>
    <x v="0"/>
    <s v="Y"/>
    <n v="2"/>
    <n v="0"/>
    <n v="2"/>
    <n v="2"/>
    <s v="Attending"/>
  </r>
  <r>
    <s v="Karla Matteson"/>
    <x v="0"/>
    <x v="0"/>
    <s v="N"/>
    <n v="0"/>
    <n v="0"/>
    <n v="0"/>
    <n v="0"/>
    <s v="Not Attending"/>
  </r>
  <r>
    <s v="Jill Blankenship"/>
    <x v="0"/>
    <x v="0"/>
    <s v="N"/>
    <n v="0"/>
    <n v="0"/>
    <n v="0"/>
    <n v="0"/>
    <s v="Not Attending"/>
  </r>
  <r>
    <s v="Jerome Norton"/>
    <x v="0"/>
    <x v="0"/>
    <s v="N"/>
    <n v="0"/>
    <n v="0"/>
    <n v="0"/>
    <n v="0"/>
    <s v="Not Attending"/>
  </r>
  <r>
    <s v="Jayne Morris"/>
    <x v="0"/>
    <x v="0"/>
    <s v="Y"/>
    <n v="1"/>
    <n v="0"/>
    <n v="1"/>
    <n v="1"/>
    <s v="Attending"/>
  </r>
  <r>
    <s v="Ilse Anderson"/>
    <x v="0"/>
    <x v="0"/>
    <s v="Y"/>
    <n v="2"/>
    <n v="0"/>
    <n v="2"/>
    <n v="2"/>
    <s v="Attending"/>
  </r>
  <r>
    <s v="Geraldine Swartz"/>
    <x v="0"/>
    <x v="0"/>
    <s v="N"/>
    <n v="0"/>
    <n v="0"/>
    <n v="0"/>
    <n v="0"/>
    <s v="Not Attending"/>
  </r>
  <r>
    <s v="Gene Frye"/>
    <x v="0"/>
    <x v="0"/>
    <s v="Y"/>
    <n v="2"/>
    <n v="0"/>
    <n v="2"/>
    <n v="2"/>
    <s v="Attending"/>
  </r>
  <r>
    <s v="Frank Ralston"/>
    <x v="0"/>
    <x v="0"/>
    <s v="N"/>
    <n v="0"/>
    <n v="0"/>
    <n v="0"/>
    <n v="0"/>
    <s v="Not Attending"/>
  </r>
  <r>
    <s v="Elizabeth Ann Rose"/>
    <x v="0"/>
    <x v="0"/>
    <s v="N"/>
    <n v="0"/>
    <n v="0"/>
    <n v="0"/>
    <n v="0"/>
    <s v="Not Attending"/>
  </r>
  <r>
    <s v="Dr. Lozzio"/>
    <x v="0"/>
    <x v="0"/>
    <s v="Y"/>
    <n v="1"/>
    <n v="0"/>
    <n v="1"/>
    <n v="1"/>
    <s v="Attending"/>
  </r>
  <r>
    <s v="Doris Williams"/>
    <x v="0"/>
    <x v="0"/>
    <s v="Y"/>
    <n v="1"/>
    <n v="0"/>
    <n v="1"/>
    <n v="1"/>
    <s v="Attending"/>
  </r>
  <r>
    <s v="Donna Hartman"/>
    <x v="0"/>
    <x v="0"/>
    <s v="N"/>
    <n v="0"/>
    <n v="0"/>
    <n v="0"/>
    <n v="0"/>
    <s v="Not Attending"/>
  </r>
  <r>
    <s v="Diana White"/>
    <x v="0"/>
    <x v="0"/>
    <s v="N"/>
    <n v="0"/>
    <n v="0"/>
    <n v="0"/>
    <n v="0"/>
    <s v="Not Attending"/>
  </r>
  <r>
    <s v="Daphne Saunders"/>
    <x v="0"/>
    <x v="0"/>
    <s v="N"/>
    <n v="0"/>
    <n v="0"/>
    <n v="0"/>
    <n v="0"/>
    <s v="Not Attending"/>
  </r>
  <r>
    <s v="Claudia Wilson"/>
    <x v="0"/>
    <x v="0"/>
    <s v="N"/>
    <n v="0"/>
    <n v="0"/>
    <n v="0"/>
    <n v="0"/>
    <s v="Not Attending"/>
  </r>
  <r>
    <s v="Christi Austin"/>
    <x v="0"/>
    <x v="0"/>
    <s v="Y"/>
    <n v="1"/>
    <n v="0"/>
    <n v="1"/>
    <n v="1"/>
    <s v="Attending"/>
  </r>
  <r>
    <s v="Charles Goan"/>
    <x v="0"/>
    <x v="0"/>
    <s v="N"/>
    <n v="0"/>
    <n v="0"/>
    <n v="0"/>
    <n v="0"/>
    <s v="Not Attending"/>
  </r>
  <r>
    <s v="Carolyn White"/>
    <x v="0"/>
    <x v="0"/>
    <s v="N"/>
    <n v="0"/>
    <n v="0"/>
    <n v="0"/>
    <n v="0"/>
    <s v="Not Attending"/>
  </r>
  <r>
    <s v="Tricia Lynn"/>
    <x v="0"/>
    <x v="1"/>
    <s v="Y"/>
    <n v="1"/>
    <n v="0"/>
    <n v="1"/>
    <n v="1"/>
    <s v="Attending"/>
  </r>
  <r>
    <s v="Steve Helton"/>
    <x v="0"/>
    <x v="1"/>
    <s v="Y"/>
    <n v="1"/>
    <n v="0"/>
    <n v="1"/>
    <n v="1"/>
    <s v="Attending"/>
  </r>
  <r>
    <s v="Robert Gollen"/>
    <x v="0"/>
    <x v="1"/>
    <s v="Y"/>
    <n v="2"/>
    <n v="0"/>
    <n v="2"/>
    <n v="2"/>
    <s v="Attending"/>
  </r>
  <r>
    <s v="Kevin Lynn"/>
    <x v="0"/>
    <x v="1"/>
    <s v="N"/>
    <n v="0"/>
    <n v="0"/>
    <n v="0"/>
    <n v="0"/>
    <s v="Not Attending"/>
  </r>
  <r>
    <s v="Kathleen Lynn"/>
    <x v="0"/>
    <x v="1"/>
    <s v="Y"/>
    <n v="1"/>
    <n v="0"/>
    <n v="1"/>
    <n v="1"/>
    <s v="Attending"/>
  </r>
  <r>
    <s v="Julian Helton"/>
    <x v="0"/>
    <x v="1"/>
    <s v="Y"/>
    <n v="1"/>
    <n v="0"/>
    <n v="1"/>
    <n v="1"/>
    <s v="Attending"/>
  </r>
  <r>
    <s v="Jo Mai Kelleher"/>
    <x v="0"/>
    <x v="1"/>
    <s v="N"/>
    <n v="0"/>
    <n v="0"/>
    <n v="0"/>
    <n v="0"/>
    <s v="Not Attending"/>
  </r>
  <r>
    <s v="Esther Cronin"/>
    <x v="0"/>
    <x v="1"/>
    <s v="N"/>
    <n v="0"/>
    <n v="0"/>
    <n v="0"/>
    <n v="0"/>
    <s v="Not Attending"/>
  </r>
  <r>
    <s v="Eileen DiBalsamo"/>
    <x v="0"/>
    <x v="1"/>
    <s v="N"/>
    <n v="0"/>
    <n v="0"/>
    <n v="0"/>
    <n v="0"/>
    <s v="Not Attending"/>
  </r>
  <r>
    <s v="Chris &amp; Tony "/>
    <x v="0"/>
    <x v="1"/>
    <s v="Y"/>
    <n v="2"/>
    <n v="0"/>
    <n v="2"/>
    <n v="2"/>
    <s v="Attending"/>
  </r>
  <r>
    <s v="Pauline Helton"/>
    <x v="0"/>
    <x v="1"/>
    <s v="N"/>
    <n v="0"/>
    <n v="0"/>
    <n v="0"/>
    <n v="0"/>
    <s v="Not Attending"/>
  </r>
  <r>
    <s v="Nuala Golic"/>
    <x v="0"/>
    <x v="1"/>
    <s v="Y"/>
    <n v="2"/>
    <n v="0"/>
    <n v="2"/>
    <n v="2"/>
    <s v="Attending"/>
  </r>
  <r>
    <s v="Margaret Sullivan"/>
    <x v="0"/>
    <x v="1"/>
    <s v="N"/>
    <n v="0"/>
    <n v="0"/>
    <n v="0"/>
    <n v="0"/>
    <s v="Not Attending"/>
  </r>
  <r>
    <s v="Winkie Clark"/>
    <x v="0"/>
    <x v="2"/>
    <s v="Y"/>
    <n v="2"/>
    <n v="0"/>
    <n v="2"/>
    <n v="2"/>
    <s v="Attending"/>
  </r>
  <r>
    <s v="Shelley Lyons"/>
    <x v="0"/>
    <x v="2"/>
    <s v="Y"/>
    <n v="2"/>
    <n v="0"/>
    <n v="2"/>
    <n v="2"/>
    <s v="Attending"/>
  </r>
  <r>
    <s v="Rev. &amp; Mrs. Cook"/>
    <x v="0"/>
    <x v="2"/>
    <s v="N"/>
    <n v="0"/>
    <n v="0"/>
    <n v="0"/>
    <n v="0"/>
    <s v="Not Attending"/>
  </r>
  <r>
    <s v="Rene Tabor"/>
    <x v="0"/>
    <x v="2"/>
    <s v="N"/>
    <n v="0"/>
    <n v="0"/>
    <n v="0"/>
    <n v="0"/>
    <s v="Not Attending"/>
  </r>
  <r>
    <s v="Miss Linn"/>
    <x v="0"/>
    <x v="2"/>
    <s v="N"/>
    <n v="0"/>
    <n v="0"/>
    <n v="0"/>
    <n v="0"/>
    <s v="Not Attending"/>
  </r>
  <r>
    <s v="Mary Daly"/>
    <x v="0"/>
    <x v="2"/>
    <s v="Y"/>
    <n v="1"/>
    <n v="0"/>
    <n v="1"/>
    <n v="1"/>
    <s v="Attending"/>
  </r>
  <r>
    <s v="Marita Douglas"/>
    <x v="0"/>
    <x v="2"/>
    <s v="Y"/>
    <n v="2"/>
    <n v="3"/>
    <n v="5"/>
    <n v="5"/>
    <s v="Attending"/>
  </r>
  <r>
    <s v="Marge Puryear"/>
    <x v="0"/>
    <x v="2"/>
    <s v="N"/>
    <n v="0"/>
    <n v="0"/>
    <n v="0"/>
    <n v="0"/>
    <s v="Not Attending"/>
  </r>
  <r>
    <s v="Lynn Hampton"/>
    <x v="0"/>
    <x v="2"/>
    <s v="N"/>
    <n v="0"/>
    <n v="0"/>
    <n v="0"/>
    <n v="0"/>
    <s v="Not Attending"/>
  </r>
  <r>
    <s v="Donald Ely"/>
    <x v="0"/>
    <x v="2"/>
    <s v="Y"/>
    <n v="2"/>
    <n v="1"/>
    <n v="3"/>
    <n v="3"/>
    <s v="Attending"/>
  </r>
  <r>
    <s v="Liz McCoy"/>
    <x v="0"/>
    <x v="2"/>
    <s v="Y"/>
    <n v="2"/>
    <n v="0"/>
    <n v="2"/>
    <n v="2"/>
    <s v="Attending"/>
  </r>
  <r>
    <s v="Kathy McCammon"/>
    <x v="0"/>
    <x v="2"/>
    <s v="Y"/>
    <n v="2"/>
    <n v="0"/>
    <n v="2"/>
    <n v="2"/>
    <s v="Attending"/>
  </r>
  <r>
    <s v="Kathy Arrington"/>
    <x v="0"/>
    <x v="2"/>
    <s v="N"/>
    <n v="0"/>
    <n v="0"/>
    <n v="0"/>
    <n v="0"/>
    <s v="Not Attending"/>
  </r>
  <r>
    <s v="Jim &amp; Pat Heatherly"/>
    <x v="0"/>
    <x v="2"/>
    <s v="N"/>
    <n v="0"/>
    <n v="0"/>
    <n v="0"/>
    <n v="0"/>
    <s v="Not Attending"/>
  </r>
  <r>
    <s v="Jill Sackman"/>
    <x v="0"/>
    <x v="2"/>
    <s v="N"/>
    <n v="0"/>
    <n v="0"/>
    <n v="0"/>
    <n v="0"/>
    <s v="Not Attending"/>
  </r>
  <r>
    <s v="Jennie Jenkins"/>
    <x v="0"/>
    <x v="2"/>
    <s v="Y"/>
    <n v="2"/>
    <n v="0"/>
    <n v="2"/>
    <n v="2"/>
    <s v="Attending"/>
  </r>
  <r>
    <s v="Janet Haag"/>
    <x v="0"/>
    <x v="2"/>
    <s v="Y"/>
    <n v="2"/>
    <n v="0"/>
    <n v="2"/>
    <n v="2"/>
    <s v="Attending"/>
  </r>
  <r>
    <s v="Greg Bishop"/>
    <x v="0"/>
    <x v="2"/>
    <s v="Y"/>
    <n v="2"/>
    <n v="0"/>
    <n v="2"/>
    <n v="2"/>
    <s v="Attending"/>
  </r>
  <r>
    <s v="Earlene Hopkins"/>
    <x v="0"/>
    <x v="2"/>
    <s v="N"/>
    <n v="0"/>
    <n v="0"/>
    <n v="0"/>
    <n v="0"/>
    <s v="Not Attending"/>
  </r>
  <r>
    <s v="Dr. Floyd"/>
    <x v="0"/>
    <x v="2"/>
    <s v="N"/>
    <n v="0"/>
    <n v="0"/>
    <n v="0"/>
    <n v="0"/>
    <s v="Not Attending"/>
  </r>
  <r>
    <s v="Dorothy Wetzel"/>
    <x v="0"/>
    <x v="2"/>
    <s v="N"/>
    <n v="0"/>
    <n v="0"/>
    <n v="0"/>
    <n v="0"/>
    <s v="Not Attending"/>
  </r>
  <r>
    <s v="Doris Keeling"/>
    <x v="0"/>
    <x v="2"/>
    <s v="Y"/>
    <n v="1"/>
    <n v="0"/>
    <n v="1"/>
    <n v="1"/>
    <s v="Attending"/>
  </r>
  <r>
    <s v="Connie Morgan"/>
    <x v="0"/>
    <x v="2"/>
    <s v="N"/>
    <n v="0"/>
    <n v="0"/>
    <n v="0"/>
    <n v="0"/>
    <s v="Not Attending"/>
  </r>
  <r>
    <s v="Bev Brown"/>
    <x v="0"/>
    <x v="2"/>
    <s v="Y"/>
    <n v="2"/>
    <n v="0"/>
    <n v="2"/>
    <n v="2"/>
    <s v="Attending"/>
  </r>
  <r>
    <s v="Betty Cummins"/>
    <x v="0"/>
    <x v="2"/>
    <s v="Y"/>
    <n v="1"/>
    <n v="0"/>
    <n v="1"/>
    <n v="1"/>
    <s v="Attending"/>
  </r>
  <r>
    <s v="Al Miller"/>
    <x v="0"/>
    <x v="2"/>
    <s v="N"/>
    <n v="0"/>
    <n v="0"/>
    <n v="0"/>
    <n v="0"/>
    <s v="Not Attending"/>
  </r>
  <r>
    <s v="Steve Zank"/>
    <x v="1"/>
    <x v="0"/>
    <s v="Y"/>
    <n v="2"/>
    <n v="2"/>
    <n v="4"/>
    <n v="4"/>
    <s v="Attending"/>
  </r>
  <r>
    <s v="Tony Neerey"/>
    <x v="1"/>
    <x v="0"/>
    <s v="Y"/>
    <n v="2"/>
    <n v="0"/>
    <n v="2"/>
    <n v="2"/>
    <s v="Attending"/>
  </r>
  <r>
    <s v="Thomas Neiderman"/>
    <x v="1"/>
    <x v="0"/>
    <s v="N"/>
    <n v="0"/>
    <n v="0"/>
    <n v="0"/>
    <n v="0"/>
    <s v="Not Attending"/>
  </r>
  <r>
    <s v="Susan Tompkins"/>
    <x v="1"/>
    <x v="0"/>
    <s v="Y"/>
    <n v="2"/>
    <n v="0"/>
    <n v="2"/>
    <n v="2"/>
    <s v="Attending"/>
  </r>
  <r>
    <s v="Patrick Timms"/>
    <x v="1"/>
    <x v="0"/>
    <s v="Y"/>
    <n v="2"/>
    <n v="0"/>
    <n v="2"/>
    <n v="2"/>
    <s v="Attending"/>
  </r>
  <r>
    <s v="Otis Vator"/>
    <x v="1"/>
    <x v="0"/>
    <s v="N"/>
    <n v="0"/>
    <n v="0"/>
    <n v="0"/>
    <n v="0"/>
    <s v="Not Attending"/>
  </r>
  <r>
    <s v="Mike Reeder"/>
    <x v="1"/>
    <x v="0"/>
    <s v="Y"/>
    <n v="1"/>
    <n v="0"/>
    <n v="1"/>
    <n v="1"/>
    <s v="Attending"/>
  </r>
  <r>
    <s v="Mike Tripp"/>
    <x v="1"/>
    <x v="0"/>
    <s v="N"/>
    <n v="0"/>
    <n v="0"/>
    <n v="0"/>
    <n v="0"/>
    <s v="Not Attending"/>
  </r>
  <r>
    <s v="Malcom Dowl"/>
    <x v="1"/>
    <x v="0"/>
    <s v="N"/>
    <n v="0"/>
    <n v="0"/>
    <n v="0"/>
    <n v="0"/>
    <s v="Not Attending"/>
  </r>
  <r>
    <s v="Linda Dink"/>
    <x v="1"/>
    <x v="0"/>
    <s v="Y"/>
    <n v="2"/>
    <n v="0"/>
    <n v="2"/>
    <n v="2"/>
    <s v="Attending"/>
  </r>
  <r>
    <s v="Lillian Richards"/>
    <x v="1"/>
    <x v="0"/>
    <s v="Y"/>
    <n v="2"/>
    <n v="0"/>
    <n v="2"/>
    <n v="2"/>
    <s v="Attending"/>
  </r>
  <r>
    <s v="John Schwab"/>
    <x v="1"/>
    <x v="0"/>
    <s v="Y"/>
    <n v="2"/>
    <n v="0"/>
    <n v="2"/>
    <n v="2"/>
    <s v="Attending"/>
  </r>
  <r>
    <s v="Julie Anders"/>
    <x v="1"/>
    <x v="0"/>
    <s v="Y"/>
    <n v="1"/>
    <n v="0"/>
    <n v="1"/>
    <n v="1"/>
    <s v="Attending"/>
  </r>
  <r>
    <s v="Jeff Bennett"/>
    <x v="1"/>
    <x v="0"/>
    <s v="Y"/>
    <n v="2"/>
    <n v="0"/>
    <n v="2"/>
    <n v="2"/>
    <s v="Attending"/>
  </r>
  <r>
    <s v="Hal Rider"/>
    <x v="1"/>
    <x v="0"/>
    <s v="Y"/>
    <n v="2"/>
    <n v="0"/>
    <n v="2"/>
    <n v="2"/>
    <s v="Attending"/>
  </r>
  <r>
    <s v="Gil Alexander"/>
    <x v="1"/>
    <x v="0"/>
    <s v="N"/>
    <n v="0"/>
    <n v="0"/>
    <n v="0"/>
    <n v="0"/>
    <s v="Not Attending"/>
  </r>
  <r>
    <s v="Deborah Rice"/>
    <x v="1"/>
    <x v="0"/>
    <s v="Y"/>
    <n v="2"/>
    <n v="0"/>
    <n v="2"/>
    <n v="2"/>
    <s v="Attending"/>
  </r>
  <r>
    <s v="David Wells"/>
    <x v="1"/>
    <x v="0"/>
    <s v="Y"/>
    <n v="1"/>
    <n v="0"/>
    <n v="1"/>
    <n v="1"/>
    <s v="Attending"/>
  </r>
  <r>
    <s v="David Folz"/>
    <x v="1"/>
    <x v="0"/>
    <s v="Y"/>
    <n v="2"/>
    <n v="0"/>
    <n v="2"/>
    <n v="2"/>
    <s v="Attending"/>
  </r>
  <r>
    <s v="Robert Gore"/>
    <x v="1"/>
    <x v="0"/>
    <s v="N"/>
    <n v="0"/>
    <n v="0"/>
    <n v="0"/>
    <n v="0"/>
    <s v="Not Attending"/>
  </r>
  <r>
    <s v="Robert Manning"/>
    <x v="1"/>
    <x v="0"/>
    <s v="Y"/>
    <n v="1"/>
    <n v="0"/>
    <n v="1"/>
    <n v="1"/>
    <s v="Attending"/>
  </r>
  <r>
    <s v="Robert Stein"/>
    <x v="1"/>
    <x v="0"/>
    <s v="Y"/>
    <n v="2"/>
    <n v="0"/>
    <n v="2"/>
    <n v="2"/>
    <s v="Attending"/>
  </r>
  <r>
    <s v="William Leeds"/>
    <x v="1"/>
    <x v="0"/>
    <s v="N"/>
    <n v="0"/>
    <n v="0"/>
    <n v="0"/>
    <n v="0"/>
    <s v="Not Attending"/>
  </r>
  <r>
    <s v="Alexandra Smyth"/>
    <x v="1"/>
    <x v="0"/>
    <s v="Y"/>
    <n v="2"/>
    <n v="0"/>
    <n v="2"/>
    <n v="2"/>
    <s v="Attending"/>
  </r>
  <r>
    <s v="Richard McCullough"/>
    <x v="1"/>
    <x v="1"/>
    <s v="N"/>
    <n v="0"/>
    <n v="0"/>
    <n v="0"/>
    <n v="0"/>
    <s v="Not Attending"/>
  </r>
  <r>
    <s v="Robert McCullough"/>
    <x v="1"/>
    <x v="1"/>
    <s v="N"/>
    <n v="0"/>
    <n v="0"/>
    <n v="0"/>
    <n v="0"/>
    <s v="Not Attending"/>
  </r>
  <r>
    <s v="William McCullough"/>
    <x v="1"/>
    <x v="1"/>
    <s v="N"/>
    <n v="0"/>
    <n v="0"/>
    <n v="0"/>
    <n v="0"/>
    <s v="Not Attending"/>
  </r>
  <r>
    <s v="Richard Albright"/>
    <x v="1"/>
    <x v="1"/>
    <s v="Y"/>
    <n v="4"/>
    <n v="0"/>
    <n v="4"/>
    <n v="4"/>
    <s v="Attending"/>
  </r>
  <r>
    <s v="Margaret Becky"/>
    <x v="1"/>
    <x v="1"/>
    <s v="Y"/>
    <n v="1"/>
    <n v="0"/>
    <n v="1"/>
    <n v="1"/>
    <s v="Attending"/>
  </r>
  <r>
    <s v="Ronald Breeder"/>
    <x v="1"/>
    <x v="1"/>
    <s v="Y"/>
    <n v="2"/>
    <n v="2"/>
    <n v="4"/>
    <n v="4"/>
    <s v="Attending"/>
  </r>
  <r>
    <s v="John Tompkins"/>
    <x v="1"/>
    <x v="1"/>
    <s v="Y"/>
    <n v="2"/>
    <n v="0"/>
    <n v="2"/>
    <n v="2"/>
    <s v="Attending"/>
  </r>
  <r>
    <s v="Kathy Tompkins"/>
    <x v="1"/>
    <x v="1"/>
    <s v="Y"/>
    <n v="2"/>
    <n v="0"/>
    <n v="2"/>
    <n v="2"/>
    <s v="Attending"/>
  </r>
  <r>
    <s v="John Tompkins"/>
    <x v="1"/>
    <x v="1"/>
    <s v="Y"/>
    <n v="1"/>
    <n v="0"/>
    <n v="1"/>
    <n v="1"/>
    <s v="Attending"/>
  </r>
  <r>
    <s v="Joseph Tompkins"/>
    <x v="1"/>
    <x v="1"/>
    <s v="N"/>
    <n v="0"/>
    <n v="0"/>
    <n v="0"/>
    <n v="0"/>
    <s v="Not Attending"/>
  </r>
  <r>
    <s v="Dennis Tompkins"/>
    <x v="1"/>
    <x v="1"/>
    <s v="N"/>
    <n v="0"/>
    <n v="0"/>
    <n v="0"/>
    <n v="0"/>
    <s v="Not Attending"/>
  </r>
  <r>
    <s v="Mary Tompkins"/>
    <x v="1"/>
    <x v="1"/>
    <s v="N"/>
    <n v="0"/>
    <n v="0"/>
    <n v="0"/>
    <n v="0"/>
    <s v="Not Attending"/>
  </r>
  <r>
    <s v="Jane Mowery"/>
    <x v="1"/>
    <x v="1"/>
    <s v="N"/>
    <n v="0"/>
    <n v="0"/>
    <n v="0"/>
    <n v="0"/>
    <s v="Not Attending"/>
  </r>
  <r>
    <s v="Ellen Kiely"/>
    <x v="1"/>
    <x v="1"/>
    <s v="N"/>
    <n v="0"/>
    <n v="0"/>
    <n v="0"/>
    <n v="0"/>
    <s v="Not Attending"/>
  </r>
  <r>
    <s v="Steve Kellermeyer"/>
    <x v="1"/>
    <x v="2"/>
    <s v="Y"/>
    <n v="2"/>
    <n v="2"/>
    <n v="4"/>
    <n v="4"/>
    <s v="Attending"/>
  </r>
  <r>
    <s v="Steve Hoadley"/>
    <x v="1"/>
    <x v="2"/>
    <s v="N"/>
    <n v="0"/>
    <n v="0"/>
    <n v="0"/>
    <n v="0"/>
    <s v="Not Attending"/>
  </r>
  <r>
    <s v="Stan Kimmett"/>
    <x v="1"/>
    <x v="2"/>
    <s v="N"/>
    <n v="0"/>
    <n v="0"/>
    <n v="0"/>
    <n v="0"/>
    <s v="Not Attending"/>
  </r>
  <r>
    <s v="Ron Allen"/>
    <x v="1"/>
    <x v="2"/>
    <s v="Y"/>
    <n v="2"/>
    <n v="0"/>
    <n v="2"/>
    <n v="2"/>
    <s v="Attending"/>
  </r>
  <r>
    <s v="Richard Glen"/>
    <x v="1"/>
    <x v="2"/>
    <s v="N"/>
    <n v="0"/>
    <n v="0"/>
    <n v="0"/>
    <n v="0"/>
    <s v="Not Attending"/>
  </r>
  <r>
    <s v="Martha Best"/>
    <x v="1"/>
    <x v="2"/>
    <s v="Y"/>
    <n v="2"/>
    <n v="0"/>
    <n v="2"/>
    <n v="2"/>
    <s v="Attending"/>
  </r>
  <r>
    <s v="Lisa VanZandt"/>
    <x v="1"/>
    <x v="2"/>
    <s v="N"/>
    <n v="0"/>
    <n v="0"/>
    <n v="0"/>
    <n v="0"/>
    <s v="Not Attending"/>
  </r>
  <r>
    <s v="Ken Elkington"/>
    <x v="1"/>
    <x v="2"/>
    <s v="Y"/>
    <n v="2"/>
    <n v="0"/>
    <n v="2"/>
    <n v="2"/>
    <s v="Attending"/>
  </r>
  <r>
    <s v="Kelly Baker"/>
    <x v="1"/>
    <x v="2"/>
    <s v="N"/>
    <n v="0"/>
    <n v="0"/>
    <n v="0"/>
    <n v="0"/>
    <s v="Not Attending"/>
  </r>
  <r>
    <s v="John Altman"/>
    <x v="1"/>
    <x v="2"/>
    <s v="N"/>
    <n v="0"/>
    <n v="0"/>
    <n v="0"/>
    <n v="0"/>
    <s v="Not Attending"/>
  </r>
  <r>
    <s v="Grant Neiderman"/>
    <x v="1"/>
    <x v="2"/>
    <s v="N"/>
    <n v="0"/>
    <n v="0"/>
    <n v="0"/>
    <n v="0"/>
    <s v="Not Attending"/>
  </r>
  <r>
    <s v="Fred &amp; Diane Martin"/>
    <x v="1"/>
    <x v="2"/>
    <s v="N"/>
    <n v="0"/>
    <n v="0"/>
    <n v="0"/>
    <n v="0"/>
    <s v="Not Attending"/>
  </r>
  <r>
    <s v="Donald Stephens"/>
    <x v="1"/>
    <x v="2"/>
    <s v="Y"/>
    <n v="2"/>
    <n v="0"/>
    <n v="2"/>
    <n v="2"/>
    <s v="Attending"/>
  </r>
  <r>
    <s v="Don Vaughan"/>
    <x v="1"/>
    <x v="2"/>
    <s v="N"/>
    <n v="0"/>
    <n v="0"/>
    <n v="0"/>
    <n v="0"/>
    <s v="Not Attending"/>
  </r>
  <r>
    <s v="David Roebuck"/>
    <x v="1"/>
    <x v="2"/>
    <s v="N"/>
    <n v="0"/>
    <n v="0"/>
    <n v="0"/>
    <n v="0"/>
    <s v="Not Attending"/>
  </r>
  <r>
    <s v="Brian Smithers"/>
    <x v="1"/>
    <x v="2"/>
    <s v="Y"/>
    <n v="2"/>
    <n v="0"/>
    <n v="2"/>
    <n v="2"/>
    <s v="Attending"/>
  </r>
  <r>
    <s v="Betty Weaver"/>
    <x v="1"/>
    <x v="2"/>
    <s v="Y"/>
    <n v="2"/>
    <n v="0"/>
    <n v="2"/>
    <n v="2"/>
    <s v="Att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D8A31-A30B-4953-9CDE-F86F19F744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showAll="0"/>
    <pivotField axis="axisRow" showAll="0">
      <items count="3">
        <item x="0"/>
        <item x="1"/>
        <item t="default"/>
      </items>
    </pivotField>
    <pivotField showAll="0">
      <items count="4">
        <item x="0"/>
        <item x="1"/>
        <item x="2"/>
        <item t="default"/>
      </items>
    </pivotField>
    <pivotField showAll="0"/>
    <pivotField showAll="0"/>
    <pivotField showAll="0"/>
    <pivotField showAll="0"/>
    <pivotField dataField="1" showAll="0"/>
    <pivotField showAll="0"/>
  </pivotFields>
  <rowFields count="1">
    <field x="1"/>
  </rowFields>
  <rowItems count="3">
    <i>
      <x/>
    </i>
    <i>
      <x v="1"/>
    </i>
    <i t="grand">
      <x/>
    </i>
  </rowItems>
  <colItems count="1">
    <i/>
  </colItems>
  <dataFields count="1">
    <dataField name="Sum of Confirmed Guest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 xr10:uid="{39A644C3-D7DB-4603-B7D1-2F53A49F9427}" sourceName="Relation">
  <pivotTables>
    <pivotTable tabId="6" name="PivotTable1"/>
  </pivotTables>
  <data>
    <tabular pivotCacheId="190479668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ation" xr10:uid="{7976FE48-3ED8-4123-B0C3-2149B11CD62F}" cache="Slicer_Relation" caption="Rel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8D48E0-FE00-4426-B443-F0F16DA25380}" name="WeddingGuests" displayName="WeddingGuests" ref="A1:I127" totalsRowShown="0" headerRowDxfId="4">
  <autoFilter ref="A1:I127" xr:uid="{088D48E0-FE00-4426-B443-F0F16DA25380}"/>
  <tableColumns count="9">
    <tableColumn id="1" xr3:uid="{D9C4752F-55E5-4103-947E-BA2F524785A5}" name="Guests"/>
    <tableColumn id="2" xr3:uid="{69741AE6-8522-493E-84A7-2D76C55B7920}" name="Invited By"/>
    <tableColumn id="3" xr3:uid="{2BABCB21-19DF-4E2D-8C01-C705FEBC9952}" name="Relation"/>
    <tableColumn id="4" xr3:uid="{3E60BE26-E687-47A1-AD18-C8ECDE1897AD}" name="RSVP" dataDxfId="3"/>
    <tableColumn id="5" xr3:uid="{1257E384-A576-49B3-8696-78FB89F9CF2E}" name="Adults"/>
    <tableColumn id="6" xr3:uid="{CD7D7025-D010-40F3-9767-15D03219AF33}" name="Kids"/>
    <tableColumn id="7" xr3:uid="{F8F95F6E-5E83-4DC1-A533-3B6C53B9253E}" name="Total Guests" dataDxfId="2">
      <calculatedColumnFormula>WeddingGuests[[#This Row],[Adults]]+WeddingGuests[[#This Row],[Kids]]</calculatedColumnFormula>
    </tableColumn>
    <tableColumn id="8" xr3:uid="{BB4D9C68-C107-4CC0-AC64-E3C44A7AFB51}" name="Confirmed Guests" dataDxfId="1">
      <calculatedColumnFormula>IF(WeddingGuests[[#This Row],[RSVP]]="Y",WeddingGuests[[#This Row],[Total Guests]],0)</calculatedColumnFormula>
    </tableColumn>
    <tableColumn id="9" xr3:uid="{8C0AFFA9-DFFD-4F92-B2FB-957986B03BE0}" name="RSVP Status" dataDxfId="0">
      <calculatedColumnFormula>IF(WeddingGuests[[#This Row],[RSVP]]="Y","Attending",IF(WeddingGuests[[#This Row],[RSVP]]="N","Not Attending","Unknown"))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3C4F-84BE-44FF-BB61-A4B1423C3EED}">
  <dimension ref="A3:B6"/>
  <sheetViews>
    <sheetView workbookViewId="0">
      <selection activeCell="J3" sqref="J3"/>
    </sheetView>
  </sheetViews>
  <sheetFormatPr defaultRowHeight="14.5"/>
  <cols>
    <col min="1" max="1" width="12.36328125" bestFit="1" customWidth="1"/>
    <col min="2" max="2" width="22.36328125" bestFit="1" customWidth="1"/>
  </cols>
  <sheetData>
    <row r="3" spans="1:2">
      <c r="A3" s="8" t="s">
        <v>166</v>
      </c>
      <c r="B3" t="s">
        <v>168</v>
      </c>
    </row>
    <row r="4" spans="1:2">
      <c r="A4" s="2" t="s">
        <v>3</v>
      </c>
      <c r="B4">
        <v>50</v>
      </c>
    </row>
    <row r="5" spans="1:2">
      <c r="A5" s="2" t="s">
        <v>0</v>
      </c>
      <c r="B5">
        <v>62</v>
      </c>
    </row>
    <row r="6" spans="1:2">
      <c r="A6" s="2" t="s">
        <v>167</v>
      </c>
      <c r="B6">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7"/>
  <sheetViews>
    <sheetView topLeftCell="A2" workbookViewId="0">
      <selection activeCell="D12" sqref="D12"/>
    </sheetView>
  </sheetViews>
  <sheetFormatPr defaultRowHeight="14.5"/>
  <cols>
    <col min="1" max="1" width="19" bestFit="1" customWidth="1"/>
    <col min="2" max="2" width="11.08984375" customWidth="1"/>
    <col min="3" max="3" width="9.81640625" bestFit="1" customWidth="1"/>
    <col min="4" max="4" width="9.1796875" style="1"/>
    <col min="7" max="7" width="15.81640625" bestFit="1" customWidth="1"/>
    <col min="8" max="8" width="20.453125" bestFit="1" customWidth="1"/>
    <col min="9" max="9" width="15.36328125" bestFit="1" customWidth="1"/>
  </cols>
  <sheetData>
    <row r="1" spans="1:9">
      <c r="A1" t="s">
        <v>126</v>
      </c>
      <c r="B1" t="s">
        <v>7</v>
      </c>
      <c r="C1" t="s">
        <v>127</v>
      </c>
      <c r="D1" s="1" t="s">
        <v>128</v>
      </c>
      <c r="E1" s="1" t="s">
        <v>129</v>
      </c>
      <c r="F1" s="1" t="s">
        <v>130</v>
      </c>
      <c r="G1" s="1" t="s">
        <v>151</v>
      </c>
      <c r="H1" s="1" t="s">
        <v>152</v>
      </c>
      <c r="I1" s="1" t="s">
        <v>153</v>
      </c>
    </row>
    <row r="2" spans="1:9">
      <c r="A2" t="s">
        <v>10</v>
      </c>
      <c r="B2" t="s">
        <v>3</v>
      </c>
      <c r="C2" t="s">
        <v>1</v>
      </c>
      <c r="D2" s="1" t="s">
        <v>5</v>
      </c>
      <c r="E2">
        <v>0</v>
      </c>
      <c r="F2">
        <v>0</v>
      </c>
      <c r="G2" s="7">
        <f>WeddingGuests[[#This Row],[Adults]]+WeddingGuests[[#This Row],[Kids]]</f>
        <v>0</v>
      </c>
      <c r="H2" s="7">
        <f>IF(WeddingGuests[[#This Row],[RSVP]]="Y",WeddingGuests[[#This Row],[Total Guests]],0)</f>
        <v>0</v>
      </c>
      <c r="I2" t="str">
        <f>IF(WeddingGuests[[#This Row],[RSVP]]="Y","Attending",IF(WeddingGuests[[#This Row],[RSVP]]="N","Not Attending","Unknown"))</f>
        <v>Not Attending</v>
      </c>
    </row>
    <row r="3" spans="1:9">
      <c r="A3" t="s">
        <v>11</v>
      </c>
      <c r="B3" t="s">
        <v>3</v>
      </c>
      <c r="C3" t="s">
        <v>1</v>
      </c>
      <c r="D3" s="1" t="s">
        <v>5</v>
      </c>
      <c r="E3">
        <v>0</v>
      </c>
      <c r="F3">
        <v>0</v>
      </c>
      <c r="G3">
        <f>WeddingGuests[[#This Row],[Adults]]+WeddingGuests[[#This Row],[Kids]]</f>
        <v>0</v>
      </c>
      <c r="H3">
        <f>IF(WeddingGuests[[#This Row],[RSVP]]="Y",WeddingGuests[[#This Row],[Total Guests]],0)</f>
        <v>0</v>
      </c>
      <c r="I3" t="str">
        <f>IF(WeddingGuests[[#This Row],[RSVP]]="Y","Attending",IF(WeddingGuests[[#This Row],[RSVP]]="N","Not Attending","Unknown"))</f>
        <v>Not Attending</v>
      </c>
    </row>
    <row r="4" spans="1:9">
      <c r="A4" t="s">
        <v>12</v>
      </c>
      <c r="B4" t="s">
        <v>3</v>
      </c>
      <c r="C4" t="s">
        <v>1</v>
      </c>
      <c r="D4" s="1" t="s">
        <v>5</v>
      </c>
      <c r="E4">
        <v>0</v>
      </c>
      <c r="F4">
        <v>0</v>
      </c>
      <c r="G4">
        <f>WeddingGuests[[#This Row],[Adults]]+WeddingGuests[[#This Row],[Kids]]</f>
        <v>0</v>
      </c>
      <c r="H4">
        <f>IF(WeddingGuests[[#This Row],[RSVP]]="Y",WeddingGuests[[#This Row],[Total Guests]],0)</f>
        <v>0</v>
      </c>
      <c r="I4" t="str">
        <f>IF(WeddingGuests[[#This Row],[RSVP]]="Y","Attending",IF(WeddingGuests[[#This Row],[RSVP]]="N","Not Attending","Unknown"))</f>
        <v>Not Attending</v>
      </c>
    </row>
    <row r="5" spans="1:9">
      <c r="A5" t="s">
        <v>19</v>
      </c>
      <c r="B5" t="s">
        <v>3</v>
      </c>
      <c r="C5" t="s">
        <v>1</v>
      </c>
      <c r="D5" s="1" t="s">
        <v>5</v>
      </c>
      <c r="E5">
        <v>0</v>
      </c>
      <c r="F5">
        <v>0</v>
      </c>
      <c r="G5">
        <f>WeddingGuests[[#This Row],[Adults]]+WeddingGuests[[#This Row],[Kids]]</f>
        <v>0</v>
      </c>
      <c r="H5">
        <f>IF(WeddingGuests[[#This Row],[RSVP]]="Y",WeddingGuests[[#This Row],[Total Guests]],0)</f>
        <v>0</v>
      </c>
      <c r="I5" t="str">
        <f>IF(WeddingGuests[[#This Row],[RSVP]]="Y","Attending",IF(WeddingGuests[[#This Row],[RSVP]]="N","Not Attending","Unknown"))</f>
        <v>Not Attending</v>
      </c>
    </row>
    <row r="6" spans="1:9">
      <c r="A6" t="s">
        <v>25</v>
      </c>
      <c r="B6" t="s">
        <v>3</v>
      </c>
      <c r="C6" t="s">
        <v>1</v>
      </c>
      <c r="D6" s="1" t="s">
        <v>5</v>
      </c>
      <c r="E6">
        <v>0</v>
      </c>
      <c r="F6">
        <v>0</v>
      </c>
      <c r="G6">
        <f>WeddingGuests[[#This Row],[Adults]]+WeddingGuests[[#This Row],[Kids]]</f>
        <v>0</v>
      </c>
      <c r="H6">
        <f>IF(WeddingGuests[[#This Row],[RSVP]]="Y",WeddingGuests[[#This Row],[Total Guests]],0)</f>
        <v>0</v>
      </c>
      <c r="I6" t="str">
        <f>IF(WeddingGuests[[#This Row],[RSVP]]="Y","Attending",IF(WeddingGuests[[#This Row],[RSVP]]="N","Not Attending","Unknown"))</f>
        <v>Not Attending</v>
      </c>
    </row>
    <row r="7" spans="1:9">
      <c r="A7" t="s">
        <v>27</v>
      </c>
      <c r="B7" t="s">
        <v>3</v>
      </c>
      <c r="C7" t="s">
        <v>1</v>
      </c>
      <c r="D7" s="1" t="s">
        <v>2</v>
      </c>
      <c r="E7">
        <v>2</v>
      </c>
      <c r="F7">
        <v>0</v>
      </c>
      <c r="G7">
        <f>WeddingGuests[[#This Row],[Adults]]+WeddingGuests[[#This Row],[Kids]]</f>
        <v>2</v>
      </c>
      <c r="H7">
        <f>IF(WeddingGuests[[#This Row],[RSVP]]="Y",WeddingGuests[[#This Row],[Total Guests]],0)</f>
        <v>2</v>
      </c>
      <c r="I7" t="str">
        <f>IF(WeddingGuests[[#This Row],[RSVP]]="Y","Attending",IF(WeddingGuests[[#This Row],[RSVP]]="N","Not Attending","Unknown"))</f>
        <v>Attending</v>
      </c>
    </row>
    <row r="8" spans="1:9">
      <c r="A8" t="s">
        <v>29</v>
      </c>
      <c r="B8" t="s">
        <v>3</v>
      </c>
      <c r="C8" t="s">
        <v>1</v>
      </c>
      <c r="D8" s="1" t="s">
        <v>2</v>
      </c>
      <c r="E8">
        <v>1</v>
      </c>
      <c r="F8">
        <v>0</v>
      </c>
      <c r="G8">
        <f>WeddingGuests[[#This Row],[Adults]]+WeddingGuests[[#This Row],[Kids]]</f>
        <v>1</v>
      </c>
      <c r="H8">
        <f>IF(WeddingGuests[[#This Row],[RSVP]]="Y",WeddingGuests[[#This Row],[Total Guests]],0)</f>
        <v>1</v>
      </c>
      <c r="I8" t="str">
        <f>IF(WeddingGuests[[#This Row],[RSVP]]="Y","Attending",IF(WeddingGuests[[#This Row],[RSVP]]="N","Not Attending","Unknown"))</f>
        <v>Attending</v>
      </c>
    </row>
    <row r="9" spans="1:9">
      <c r="A9" t="s">
        <v>30</v>
      </c>
      <c r="B9" t="s">
        <v>3</v>
      </c>
      <c r="C9" t="s">
        <v>1</v>
      </c>
      <c r="D9" s="1" t="s">
        <v>5</v>
      </c>
      <c r="E9">
        <v>0</v>
      </c>
      <c r="F9">
        <v>0</v>
      </c>
      <c r="G9">
        <f>WeddingGuests[[#This Row],[Adults]]+WeddingGuests[[#This Row],[Kids]]</f>
        <v>0</v>
      </c>
      <c r="H9">
        <f>IF(WeddingGuests[[#This Row],[RSVP]]="Y",WeddingGuests[[#This Row],[Total Guests]],0)</f>
        <v>0</v>
      </c>
      <c r="I9" t="str">
        <f>IF(WeddingGuests[[#This Row],[RSVP]]="Y","Attending",IF(WeddingGuests[[#This Row],[RSVP]]="N","Not Attending","Unknown"))</f>
        <v>Not Attending</v>
      </c>
    </row>
    <row r="10" spans="1:9">
      <c r="A10" t="s">
        <v>32</v>
      </c>
      <c r="B10" t="s">
        <v>3</v>
      </c>
      <c r="C10" t="s">
        <v>1</v>
      </c>
      <c r="D10" s="1" t="s">
        <v>5</v>
      </c>
      <c r="E10">
        <v>0</v>
      </c>
      <c r="F10">
        <v>0</v>
      </c>
      <c r="G10">
        <f>WeddingGuests[[#This Row],[Adults]]+WeddingGuests[[#This Row],[Kids]]</f>
        <v>0</v>
      </c>
      <c r="H10">
        <f>IF(WeddingGuests[[#This Row],[RSVP]]="Y",WeddingGuests[[#This Row],[Total Guests]],0)</f>
        <v>0</v>
      </c>
      <c r="I10" t="str">
        <f>IF(WeddingGuests[[#This Row],[RSVP]]="Y","Attending",IF(WeddingGuests[[#This Row],[RSVP]]="N","Not Attending","Unknown"))</f>
        <v>Not Attending</v>
      </c>
    </row>
    <row r="11" spans="1:9">
      <c r="A11" t="s">
        <v>33</v>
      </c>
      <c r="B11" t="s">
        <v>3</v>
      </c>
      <c r="C11" t="s">
        <v>1</v>
      </c>
      <c r="D11" s="1" t="s">
        <v>5</v>
      </c>
      <c r="E11">
        <v>0</v>
      </c>
      <c r="F11">
        <v>0</v>
      </c>
      <c r="G11">
        <f>WeddingGuests[[#This Row],[Adults]]+WeddingGuests[[#This Row],[Kids]]</f>
        <v>0</v>
      </c>
      <c r="H11">
        <f>IF(WeddingGuests[[#This Row],[RSVP]]="Y",WeddingGuests[[#This Row],[Total Guests]],0)</f>
        <v>0</v>
      </c>
      <c r="I11" t="str">
        <f>IF(WeddingGuests[[#This Row],[RSVP]]="Y","Attending",IF(WeddingGuests[[#This Row],[RSVP]]="N","Not Attending","Unknown"))</f>
        <v>Not Attending</v>
      </c>
    </row>
    <row r="12" spans="1:9">
      <c r="A12" t="s">
        <v>132</v>
      </c>
      <c r="B12" t="s">
        <v>3</v>
      </c>
      <c r="C12" s="1" t="s">
        <v>1</v>
      </c>
      <c r="D12" s="1" t="s">
        <v>5</v>
      </c>
      <c r="E12">
        <v>0</v>
      </c>
      <c r="F12">
        <v>0</v>
      </c>
      <c r="G12">
        <f>WeddingGuests[[#This Row],[Adults]]+WeddingGuests[[#This Row],[Kids]]</f>
        <v>0</v>
      </c>
      <c r="H12">
        <f>IF(WeddingGuests[[#This Row],[RSVP]]="Y",WeddingGuests[[#This Row],[Total Guests]],0)</f>
        <v>0</v>
      </c>
      <c r="I12" t="str">
        <f>IF(WeddingGuests[[#This Row],[RSVP]]="Y","Attending",IF(WeddingGuests[[#This Row],[RSVP]]="N","Not Attending","Unknown"))</f>
        <v>Not Attending</v>
      </c>
    </row>
    <row r="13" spans="1:9">
      <c r="A13" t="s">
        <v>51</v>
      </c>
      <c r="B13" t="s">
        <v>3</v>
      </c>
      <c r="C13" t="s">
        <v>1</v>
      </c>
      <c r="D13" s="1" t="s">
        <v>5</v>
      </c>
      <c r="E13">
        <v>0</v>
      </c>
      <c r="F13">
        <v>0</v>
      </c>
      <c r="G13">
        <f>WeddingGuests[[#This Row],[Adults]]+WeddingGuests[[#This Row],[Kids]]</f>
        <v>0</v>
      </c>
      <c r="H13">
        <f>IF(WeddingGuests[[#This Row],[RSVP]]="Y",WeddingGuests[[#This Row],[Total Guests]],0)</f>
        <v>0</v>
      </c>
      <c r="I13" t="str">
        <f>IF(WeddingGuests[[#This Row],[RSVP]]="Y","Attending",IF(WeddingGuests[[#This Row],[RSVP]]="N","Not Attending","Unknown"))</f>
        <v>Not Attending</v>
      </c>
    </row>
    <row r="14" spans="1:9">
      <c r="A14" t="s">
        <v>56</v>
      </c>
      <c r="B14" t="s">
        <v>3</v>
      </c>
      <c r="C14" t="s">
        <v>1</v>
      </c>
      <c r="D14" s="1" t="s">
        <v>5</v>
      </c>
      <c r="E14">
        <v>0</v>
      </c>
      <c r="F14">
        <v>0</v>
      </c>
      <c r="G14">
        <f>WeddingGuests[[#This Row],[Adults]]+WeddingGuests[[#This Row],[Kids]]</f>
        <v>0</v>
      </c>
      <c r="H14">
        <f>IF(WeddingGuests[[#This Row],[RSVP]]="Y",WeddingGuests[[#This Row],[Total Guests]],0)</f>
        <v>0</v>
      </c>
      <c r="I14" t="str">
        <f>IF(WeddingGuests[[#This Row],[RSVP]]="Y","Attending",IF(WeddingGuests[[#This Row],[RSVP]]="N","Not Attending","Unknown"))</f>
        <v>Not Attending</v>
      </c>
    </row>
    <row r="15" spans="1:9">
      <c r="A15" t="s">
        <v>58</v>
      </c>
      <c r="B15" t="s">
        <v>3</v>
      </c>
      <c r="C15" t="s">
        <v>1</v>
      </c>
      <c r="D15" s="1" t="s">
        <v>2</v>
      </c>
      <c r="E15">
        <v>2</v>
      </c>
      <c r="F15">
        <v>0</v>
      </c>
      <c r="G15">
        <f>WeddingGuests[[#This Row],[Adults]]+WeddingGuests[[#This Row],[Kids]]</f>
        <v>2</v>
      </c>
      <c r="H15">
        <f>IF(WeddingGuests[[#This Row],[RSVP]]="Y",WeddingGuests[[#This Row],[Total Guests]],0)</f>
        <v>2</v>
      </c>
      <c r="I15" t="str">
        <f>IF(WeddingGuests[[#This Row],[RSVP]]="Y","Attending",IF(WeddingGuests[[#This Row],[RSVP]]="N","Not Attending","Unknown"))</f>
        <v>Attending</v>
      </c>
    </row>
    <row r="16" spans="1:9">
      <c r="A16" t="s">
        <v>66</v>
      </c>
      <c r="B16" t="s">
        <v>3</v>
      </c>
      <c r="C16" t="s">
        <v>1</v>
      </c>
      <c r="D16" s="1" t="s">
        <v>5</v>
      </c>
      <c r="E16">
        <v>0</v>
      </c>
      <c r="F16">
        <v>0</v>
      </c>
      <c r="G16">
        <f>WeddingGuests[[#This Row],[Adults]]+WeddingGuests[[#This Row],[Kids]]</f>
        <v>0</v>
      </c>
      <c r="H16">
        <f>IF(WeddingGuests[[#This Row],[RSVP]]="Y",WeddingGuests[[#This Row],[Total Guests]],0)</f>
        <v>0</v>
      </c>
      <c r="I16" t="str">
        <f>IF(WeddingGuests[[#This Row],[RSVP]]="Y","Attending",IF(WeddingGuests[[#This Row],[RSVP]]="N","Not Attending","Unknown"))</f>
        <v>Not Attending</v>
      </c>
    </row>
    <row r="17" spans="1:9">
      <c r="A17" t="s">
        <v>73</v>
      </c>
      <c r="B17" t="s">
        <v>3</v>
      </c>
      <c r="C17" t="s">
        <v>1</v>
      </c>
      <c r="D17" s="1" t="s">
        <v>5</v>
      </c>
      <c r="E17">
        <v>0</v>
      </c>
      <c r="F17">
        <v>0</v>
      </c>
      <c r="G17">
        <f>WeddingGuests[[#This Row],[Adults]]+WeddingGuests[[#This Row],[Kids]]</f>
        <v>0</v>
      </c>
      <c r="H17">
        <f>IF(WeddingGuests[[#This Row],[RSVP]]="Y",WeddingGuests[[#This Row],[Total Guests]],0)</f>
        <v>0</v>
      </c>
      <c r="I17" t="str">
        <f>IF(WeddingGuests[[#This Row],[RSVP]]="Y","Attending",IF(WeddingGuests[[#This Row],[RSVP]]="N","Not Attending","Unknown"))</f>
        <v>Not Attending</v>
      </c>
    </row>
    <row r="18" spans="1:9">
      <c r="A18" t="s">
        <v>74</v>
      </c>
      <c r="B18" t="s">
        <v>3</v>
      </c>
      <c r="C18" t="s">
        <v>1</v>
      </c>
      <c r="D18" s="1" t="s">
        <v>5</v>
      </c>
      <c r="E18">
        <v>0</v>
      </c>
      <c r="F18">
        <v>0</v>
      </c>
      <c r="G18">
        <f>WeddingGuests[[#This Row],[Adults]]+WeddingGuests[[#This Row],[Kids]]</f>
        <v>0</v>
      </c>
      <c r="H18">
        <f>IF(WeddingGuests[[#This Row],[RSVP]]="Y",WeddingGuests[[#This Row],[Total Guests]],0)</f>
        <v>0</v>
      </c>
      <c r="I18" t="str">
        <f>IF(WeddingGuests[[#This Row],[RSVP]]="Y","Attending",IF(WeddingGuests[[#This Row],[RSVP]]="N","Not Attending","Unknown"))</f>
        <v>Not Attending</v>
      </c>
    </row>
    <row r="19" spans="1:9">
      <c r="A19" t="s">
        <v>77</v>
      </c>
      <c r="B19" t="s">
        <v>3</v>
      </c>
      <c r="C19" t="s">
        <v>1</v>
      </c>
      <c r="D19" s="1" t="s">
        <v>2</v>
      </c>
      <c r="E19">
        <v>1</v>
      </c>
      <c r="F19">
        <v>0</v>
      </c>
      <c r="G19">
        <f>WeddingGuests[[#This Row],[Adults]]+WeddingGuests[[#This Row],[Kids]]</f>
        <v>1</v>
      </c>
      <c r="H19">
        <f>IF(WeddingGuests[[#This Row],[RSVP]]="Y",WeddingGuests[[#This Row],[Total Guests]],0)</f>
        <v>1</v>
      </c>
      <c r="I19" t="str">
        <f>IF(WeddingGuests[[#This Row],[RSVP]]="Y","Attending",IF(WeddingGuests[[#This Row],[RSVP]]="N","Not Attending","Unknown"))</f>
        <v>Attending</v>
      </c>
    </row>
    <row r="20" spans="1:9">
      <c r="A20" t="s">
        <v>79</v>
      </c>
      <c r="B20" t="s">
        <v>3</v>
      </c>
      <c r="C20" t="s">
        <v>1</v>
      </c>
      <c r="D20" s="1" t="s">
        <v>2</v>
      </c>
      <c r="E20">
        <v>2</v>
      </c>
      <c r="F20">
        <v>0</v>
      </c>
      <c r="G20">
        <f>WeddingGuests[[#This Row],[Adults]]+WeddingGuests[[#This Row],[Kids]]</f>
        <v>2</v>
      </c>
      <c r="H20">
        <f>IF(WeddingGuests[[#This Row],[RSVP]]="Y",WeddingGuests[[#This Row],[Total Guests]],0)</f>
        <v>2</v>
      </c>
      <c r="I20" t="str">
        <f>IF(WeddingGuests[[#This Row],[RSVP]]="Y","Attending",IF(WeddingGuests[[#This Row],[RSVP]]="N","Not Attending","Unknown"))</f>
        <v>Attending</v>
      </c>
    </row>
    <row r="21" spans="1:9">
      <c r="A21" t="s">
        <v>84</v>
      </c>
      <c r="B21" t="s">
        <v>3</v>
      </c>
      <c r="C21" t="s">
        <v>1</v>
      </c>
      <c r="D21" s="1" t="s">
        <v>5</v>
      </c>
      <c r="E21">
        <v>0</v>
      </c>
      <c r="F21">
        <v>0</v>
      </c>
      <c r="G21">
        <f>WeddingGuests[[#This Row],[Adults]]+WeddingGuests[[#This Row],[Kids]]</f>
        <v>0</v>
      </c>
      <c r="H21">
        <f>IF(WeddingGuests[[#This Row],[RSVP]]="Y",WeddingGuests[[#This Row],[Total Guests]],0)</f>
        <v>0</v>
      </c>
      <c r="I21" t="str">
        <f>IF(WeddingGuests[[#This Row],[RSVP]]="Y","Attending",IF(WeddingGuests[[#This Row],[RSVP]]="N","Not Attending","Unknown"))</f>
        <v>Not Attending</v>
      </c>
    </row>
    <row r="22" spans="1:9">
      <c r="A22" t="s">
        <v>85</v>
      </c>
      <c r="B22" s="2" t="s">
        <v>3</v>
      </c>
      <c r="C22" t="s">
        <v>1</v>
      </c>
      <c r="D22" s="1" t="s">
        <v>2</v>
      </c>
      <c r="E22">
        <v>2</v>
      </c>
      <c r="F22">
        <v>0</v>
      </c>
      <c r="G22">
        <f>WeddingGuests[[#This Row],[Adults]]+WeddingGuests[[#This Row],[Kids]]</f>
        <v>2</v>
      </c>
      <c r="H22">
        <f>IF(WeddingGuests[[#This Row],[RSVP]]="Y",WeddingGuests[[#This Row],[Total Guests]],0)</f>
        <v>2</v>
      </c>
      <c r="I22" t="str">
        <f>IF(WeddingGuests[[#This Row],[RSVP]]="Y","Attending",IF(WeddingGuests[[#This Row],[RSVP]]="N","Not Attending","Unknown"))</f>
        <v>Attending</v>
      </c>
    </row>
    <row r="23" spans="1:9">
      <c r="A23" t="s">
        <v>86</v>
      </c>
      <c r="B23" s="2" t="s">
        <v>3</v>
      </c>
      <c r="C23" t="s">
        <v>1</v>
      </c>
      <c r="D23" s="1" t="s">
        <v>5</v>
      </c>
      <c r="E23">
        <v>0</v>
      </c>
      <c r="F23">
        <v>0</v>
      </c>
      <c r="G23">
        <f>WeddingGuests[[#This Row],[Adults]]+WeddingGuests[[#This Row],[Kids]]</f>
        <v>0</v>
      </c>
      <c r="H23">
        <f>IF(WeddingGuests[[#This Row],[RSVP]]="Y",WeddingGuests[[#This Row],[Total Guests]],0)</f>
        <v>0</v>
      </c>
      <c r="I23" t="str">
        <f>IF(WeddingGuests[[#This Row],[RSVP]]="Y","Attending",IF(WeddingGuests[[#This Row],[RSVP]]="N","Not Attending","Unknown"))</f>
        <v>Not Attending</v>
      </c>
    </row>
    <row r="24" spans="1:9">
      <c r="A24" t="s">
        <v>136</v>
      </c>
      <c r="B24" s="2" t="s">
        <v>3</v>
      </c>
      <c r="C24" s="1" t="s">
        <v>1</v>
      </c>
      <c r="D24" s="1" t="s">
        <v>5</v>
      </c>
      <c r="E24">
        <v>0</v>
      </c>
      <c r="F24">
        <v>0</v>
      </c>
      <c r="G24">
        <f>WeddingGuests[[#This Row],[Adults]]+WeddingGuests[[#This Row],[Kids]]</f>
        <v>0</v>
      </c>
      <c r="H24">
        <f>IF(WeddingGuests[[#This Row],[RSVP]]="Y",WeddingGuests[[#This Row],[Total Guests]],0)</f>
        <v>0</v>
      </c>
      <c r="I24" t="str">
        <f>IF(WeddingGuests[[#This Row],[RSVP]]="Y","Attending",IF(WeddingGuests[[#This Row],[RSVP]]="N","Not Attending","Unknown"))</f>
        <v>Not Attending</v>
      </c>
    </row>
    <row r="25" spans="1:9">
      <c r="A25" t="s">
        <v>91</v>
      </c>
      <c r="B25" s="2" t="s">
        <v>3</v>
      </c>
      <c r="C25" t="s">
        <v>1</v>
      </c>
      <c r="D25" s="1" t="s">
        <v>2</v>
      </c>
      <c r="E25">
        <v>1</v>
      </c>
      <c r="F25">
        <v>0</v>
      </c>
      <c r="G25">
        <f>WeddingGuests[[#This Row],[Adults]]+WeddingGuests[[#This Row],[Kids]]</f>
        <v>1</v>
      </c>
      <c r="H25">
        <f>IF(WeddingGuests[[#This Row],[RSVP]]="Y",WeddingGuests[[#This Row],[Total Guests]],0)</f>
        <v>1</v>
      </c>
      <c r="I25" t="str">
        <f>IF(WeddingGuests[[#This Row],[RSVP]]="Y","Attending",IF(WeddingGuests[[#This Row],[RSVP]]="N","Not Attending","Unknown"))</f>
        <v>Attending</v>
      </c>
    </row>
    <row r="26" spans="1:9">
      <c r="A26" t="s">
        <v>94</v>
      </c>
      <c r="B26" t="s">
        <v>3</v>
      </c>
      <c r="C26" t="s">
        <v>1</v>
      </c>
      <c r="D26" s="1" t="s">
        <v>2</v>
      </c>
      <c r="E26">
        <v>1</v>
      </c>
      <c r="F26">
        <v>0</v>
      </c>
      <c r="G26">
        <f>WeddingGuests[[#This Row],[Adults]]+WeddingGuests[[#This Row],[Kids]]</f>
        <v>1</v>
      </c>
      <c r="H26">
        <f>IF(WeddingGuests[[#This Row],[RSVP]]="Y",WeddingGuests[[#This Row],[Total Guests]],0)</f>
        <v>1</v>
      </c>
      <c r="I26" t="str">
        <f>IF(WeddingGuests[[#This Row],[RSVP]]="Y","Attending",IF(WeddingGuests[[#This Row],[RSVP]]="N","Not Attending","Unknown"))</f>
        <v>Attending</v>
      </c>
    </row>
    <row r="27" spans="1:9">
      <c r="A27" t="s">
        <v>96</v>
      </c>
      <c r="B27" t="s">
        <v>3</v>
      </c>
      <c r="C27" t="s">
        <v>1</v>
      </c>
      <c r="D27" s="1" t="s">
        <v>5</v>
      </c>
      <c r="E27">
        <v>0</v>
      </c>
      <c r="F27">
        <v>0</v>
      </c>
      <c r="G27">
        <f>WeddingGuests[[#This Row],[Adults]]+WeddingGuests[[#This Row],[Kids]]</f>
        <v>0</v>
      </c>
      <c r="H27">
        <f>IF(WeddingGuests[[#This Row],[RSVP]]="Y",WeddingGuests[[#This Row],[Total Guests]],0)</f>
        <v>0</v>
      </c>
      <c r="I27" t="str">
        <f>IF(WeddingGuests[[#This Row],[RSVP]]="Y","Attending",IF(WeddingGuests[[#This Row],[RSVP]]="N","Not Attending","Unknown"))</f>
        <v>Not Attending</v>
      </c>
    </row>
    <row r="28" spans="1:9">
      <c r="A28" t="s">
        <v>98</v>
      </c>
      <c r="B28" t="s">
        <v>3</v>
      </c>
      <c r="C28" t="s">
        <v>1</v>
      </c>
      <c r="D28" s="1" t="s">
        <v>5</v>
      </c>
      <c r="E28">
        <v>0</v>
      </c>
      <c r="F28">
        <v>0</v>
      </c>
      <c r="G28">
        <f>WeddingGuests[[#This Row],[Adults]]+WeddingGuests[[#This Row],[Kids]]</f>
        <v>0</v>
      </c>
      <c r="H28">
        <f>IF(WeddingGuests[[#This Row],[RSVP]]="Y",WeddingGuests[[#This Row],[Total Guests]],0)</f>
        <v>0</v>
      </c>
      <c r="I28" t="str">
        <f>IF(WeddingGuests[[#This Row],[RSVP]]="Y","Attending",IF(WeddingGuests[[#This Row],[RSVP]]="N","Not Attending","Unknown"))</f>
        <v>Not Attending</v>
      </c>
    </row>
    <row r="29" spans="1:9">
      <c r="A29" t="s">
        <v>104</v>
      </c>
      <c r="B29" t="s">
        <v>3</v>
      </c>
      <c r="C29" t="s">
        <v>1</v>
      </c>
      <c r="D29" s="1" t="s">
        <v>5</v>
      </c>
      <c r="E29">
        <v>0</v>
      </c>
      <c r="F29">
        <v>0</v>
      </c>
      <c r="G29">
        <f>WeddingGuests[[#This Row],[Adults]]+WeddingGuests[[#This Row],[Kids]]</f>
        <v>0</v>
      </c>
      <c r="H29">
        <f>IF(WeddingGuests[[#This Row],[RSVP]]="Y",WeddingGuests[[#This Row],[Total Guests]],0)</f>
        <v>0</v>
      </c>
      <c r="I29" t="str">
        <f>IF(WeddingGuests[[#This Row],[RSVP]]="Y","Attending",IF(WeddingGuests[[#This Row],[RSVP]]="N","Not Attending","Unknown"))</f>
        <v>Not Attending</v>
      </c>
    </row>
    <row r="30" spans="1:9">
      <c r="A30" t="s">
        <v>106</v>
      </c>
      <c r="B30" t="s">
        <v>3</v>
      </c>
      <c r="C30" t="s">
        <v>1</v>
      </c>
      <c r="D30" s="1" t="s">
        <v>5</v>
      </c>
      <c r="E30">
        <v>0</v>
      </c>
      <c r="F30">
        <v>0</v>
      </c>
      <c r="G30">
        <f>WeddingGuests[[#This Row],[Adults]]+WeddingGuests[[#This Row],[Kids]]</f>
        <v>0</v>
      </c>
      <c r="H30">
        <f>IF(WeddingGuests[[#This Row],[RSVP]]="Y",WeddingGuests[[#This Row],[Total Guests]],0)</f>
        <v>0</v>
      </c>
      <c r="I30" t="str">
        <f>IF(WeddingGuests[[#This Row],[RSVP]]="Y","Attending",IF(WeddingGuests[[#This Row],[RSVP]]="N","Not Attending","Unknown"))</f>
        <v>Not Attending</v>
      </c>
    </row>
    <row r="31" spans="1:9">
      <c r="A31" t="s">
        <v>107</v>
      </c>
      <c r="B31" t="s">
        <v>3</v>
      </c>
      <c r="C31" s="2" t="s">
        <v>1</v>
      </c>
      <c r="D31" s="1" t="s">
        <v>2</v>
      </c>
      <c r="E31" s="3">
        <v>1</v>
      </c>
      <c r="F31" s="3">
        <v>0</v>
      </c>
      <c r="G31">
        <f>WeddingGuests[[#This Row],[Adults]]+WeddingGuests[[#This Row],[Kids]]</f>
        <v>1</v>
      </c>
      <c r="H31">
        <f>IF(WeddingGuests[[#This Row],[RSVP]]="Y",WeddingGuests[[#This Row],[Total Guests]],0)</f>
        <v>1</v>
      </c>
      <c r="I31" t="str">
        <f>IF(WeddingGuests[[#This Row],[RSVP]]="Y","Attending",IF(WeddingGuests[[#This Row],[RSVP]]="N","Not Attending","Unknown"))</f>
        <v>Attending</v>
      </c>
    </row>
    <row r="32" spans="1:9">
      <c r="A32" t="s">
        <v>108</v>
      </c>
      <c r="B32" t="s">
        <v>3</v>
      </c>
      <c r="C32" s="2" t="s">
        <v>1</v>
      </c>
      <c r="D32" s="1" t="s">
        <v>5</v>
      </c>
      <c r="E32" s="3">
        <v>0</v>
      </c>
      <c r="F32" s="3">
        <v>0</v>
      </c>
      <c r="G32">
        <f>WeddingGuests[[#This Row],[Adults]]+WeddingGuests[[#This Row],[Kids]]</f>
        <v>0</v>
      </c>
      <c r="H32">
        <f>IF(WeddingGuests[[#This Row],[RSVP]]="Y",WeddingGuests[[#This Row],[Total Guests]],0)</f>
        <v>0</v>
      </c>
      <c r="I32" t="str">
        <f>IF(WeddingGuests[[#This Row],[RSVP]]="Y","Attending",IF(WeddingGuests[[#This Row],[RSVP]]="N","Not Attending","Unknown"))</f>
        <v>Not Attending</v>
      </c>
    </row>
    <row r="33" spans="1:9">
      <c r="A33" t="s">
        <v>109</v>
      </c>
      <c r="B33" t="s">
        <v>3</v>
      </c>
      <c r="C33" s="2" t="s">
        <v>1</v>
      </c>
      <c r="D33" s="1" t="s">
        <v>5</v>
      </c>
      <c r="E33">
        <v>0</v>
      </c>
      <c r="F33">
        <v>0</v>
      </c>
      <c r="G33">
        <f>WeddingGuests[[#This Row],[Adults]]+WeddingGuests[[#This Row],[Kids]]</f>
        <v>0</v>
      </c>
      <c r="H33">
        <f>IF(WeddingGuests[[#This Row],[RSVP]]="Y",WeddingGuests[[#This Row],[Total Guests]],0)</f>
        <v>0</v>
      </c>
      <c r="I33" t="str">
        <f>IF(WeddingGuests[[#This Row],[RSVP]]="Y","Attending",IF(WeddingGuests[[#This Row],[RSVP]]="N","Not Attending","Unknown"))</f>
        <v>Not Attending</v>
      </c>
    </row>
    <row r="34" spans="1:9">
      <c r="A34" t="s">
        <v>16</v>
      </c>
      <c r="B34" t="s">
        <v>3</v>
      </c>
      <c r="C34" t="s">
        <v>6</v>
      </c>
      <c r="D34" s="1" t="s">
        <v>2</v>
      </c>
      <c r="E34">
        <v>1</v>
      </c>
      <c r="F34">
        <v>0</v>
      </c>
      <c r="G34">
        <f>WeddingGuests[[#This Row],[Adults]]+WeddingGuests[[#This Row],[Kids]]</f>
        <v>1</v>
      </c>
      <c r="H34">
        <f>IF(WeddingGuests[[#This Row],[RSVP]]="Y",WeddingGuests[[#This Row],[Total Guests]],0)</f>
        <v>1</v>
      </c>
      <c r="I34" t="str">
        <f>IF(WeddingGuests[[#This Row],[RSVP]]="Y","Attending",IF(WeddingGuests[[#This Row],[RSVP]]="N","Not Attending","Unknown"))</f>
        <v>Attending</v>
      </c>
    </row>
    <row r="35" spans="1:9">
      <c r="A35" t="s">
        <v>24</v>
      </c>
      <c r="B35" t="s">
        <v>3</v>
      </c>
      <c r="C35" t="s">
        <v>6</v>
      </c>
      <c r="D35" s="1" t="s">
        <v>2</v>
      </c>
      <c r="E35">
        <v>1</v>
      </c>
      <c r="F35">
        <v>0</v>
      </c>
      <c r="G35">
        <f>WeddingGuests[[#This Row],[Adults]]+WeddingGuests[[#This Row],[Kids]]</f>
        <v>1</v>
      </c>
      <c r="H35">
        <f>IF(WeddingGuests[[#This Row],[RSVP]]="Y",WeddingGuests[[#This Row],[Total Guests]],0)</f>
        <v>1</v>
      </c>
      <c r="I35" t="str">
        <f>IF(WeddingGuests[[#This Row],[RSVP]]="Y","Attending",IF(WeddingGuests[[#This Row],[RSVP]]="N","Not Attending","Unknown"))</f>
        <v>Attending</v>
      </c>
    </row>
    <row r="36" spans="1:9">
      <c r="A36" t="s">
        <v>41</v>
      </c>
      <c r="B36" t="s">
        <v>3</v>
      </c>
      <c r="C36" t="s">
        <v>6</v>
      </c>
      <c r="D36" s="1" t="s">
        <v>2</v>
      </c>
      <c r="E36">
        <v>2</v>
      </c>
      <c r="F36">
        <v>0</v>
      </c>
      <c r="G36">
        <f>WeddingGuests[[#This Row],[Adults]]+WeddingGuests[[#This Row],[Kids]]</f>
        <v>2</v>
      </c>
      <c r="H36">
        <f>IF(WeddingGuests[[#This Row],[RSVP]]="Y",WeddingGuests[[#This Row],[Total Guests]],0)</f>
        <v>2</v>
      </c>
      <c r="I36" t="str">
        <f>IF(WeddingGuests[[#This Row],[RSVP]]="Y","Attending",IF(WeddingGuests[[#This Row],[RSVP]]="N","Not Attending","Unknown"))</f>
        <v>Attending</v>
      </c>
    </row>
    <row r="37" spans="1:9">
      <c r="A37" t="s">
        <v>59</v>
      </c>
      <c r="B37" t="s">
        <v>3</v>
      </c>
      <c r="C37" t="s">
        <v>6</v>
      </c>
      <c r="D37" s="1" t="s">
        <v>5</v>
      </c>
      <c r="E37">
        <v>0</v>
      </c>
      <c r="F37">
        <v>0</v>
      </c>
      <c r="G37">
        <f>WeddingGuests[[#This Row],[Adults]]+WeddingGuests[[#This Row],[Kids]]</f>
        <v>0</v>
      </c>
      <c r="H37">
        <f>IF(WeddingGuests[[#This Row],[RSVP]]="Y",WeddingGuests[[#This Row],[Total Guests]],0)</f>
        <v>0</v>
      </c>
      <c r="I37" t="str">
        <f>IF(WeddingGuests[[#This Row],[RSVP]]="Y","Attending",IF(WeddingGuests[[#This Row],[RSVP]]="N","Not Attending","Unknown"))</f>
        <v>Not Attending</v>
      </c>
    </row>
    <row r="38" spans="1:9">
      <c r="A38" t="s">
        <v>65</v>
      </c>
      <c r="B38" t="s">
        <v>3</v>
      </c>
      <c r="C38" t="s">
        <v>6</v>
      </c>
      <c r="D38" s="1" t="s">
        <v>2</v>
      </c>
      <c r="E38">
        <v>1</v>
      </c>
      <c r="F38">
        <v>0</v>
      </c>
      <c r="G38">
        <f>WeddingGuests[[#This Row],[Adults]]+WeddingGuests[[#This Row],[Kids]]</f>
        <v>1</v>
      </c>
      <c r="H38">
        <f>IF(WeddingGuests[[#This Row],[RSVP]]="Y",WeddingGuests[[#This Row],[Total Guests]],0)</f>
        <v>1</v>
      </c>
      <c r="I38" t="str">
        <f>IF(WeddingGuests[[#This Row],[RSVP]]="Y","Attending",IF(WeddingGuests[[#This Row],[RSVP]]="N","Not Attending","Unknown"))</f>
        <v>Attending</v>
      </c>
    </row>
    <row r="39" spans="1:9">
      <c r="A39" t="s">
        <v>67</v>
      </c>
      <c r="B39" t="s">
        <v>3</v>
      </c>
      <c r="C39" t="s">
        <v>6</v>
      </c>
      <c r="D39" s="1" t="s">
        <v>2</v>
      </c>
      <c r="E39">
        <v>1</v>
      </c>
      <c r="F39">
        <v>0</v>
      </c>
      <c r="G39">
        <f>WeddingGuests[[#This Row],[Adults]]+WeddingGuests[[#This Row],[Kids]]</f>
        <v>1</v>
      </c>
      <c r="H39">
        <f>IF(WeddingGuests[[#This Row],[RSVP]]="Y",WeddingGuests[[#This Row],[Total Guests]],0)</f>
        <v>1</v>
      </c>
      <c r="I39" t="str">
        <f>IF(WeddingGuests[[#This Row],[RSVP]]="Y","Attending",IF(WeddingGuests[[#This Row],[RSVP]]="N","Not Attending","Unknown"))</f>
        <v>Attending</v>
      </c>
    </row>
    <row r="40" spans="1:9">
      <c r="A40" t="s">
        <v>133</v>
      </c>
      <c r="B40" t="s">
        <v>3</v>
      </c>
      <c r="C40" s="2" t="s">
        <v>6</v>
      </c>
      <c r="D40" s="1" t="s">
        <v>5</v>
      </c>
      <c r="E40">
        <v>0</v>
      </c>
      <c r="F40">
        <v>0</v>
      </c>
      <c r="G40">
        <f>WeddingGuests[[#This Row],[Adults]]+WeddingGuests[[#This Row],[Kids]]</f>
        <v>0</v>
      </c>
      <c r="H40">
        <f>IF(WeddingGuests[[#This Row],[RSVP]]="Y",WeddingGuests[[#This Row],[Total Guests]],0)</f>
        <v>0</v>
      </c>
      <c r="I40" t="str">
        <f>IF(WeddingGuests[[#This Row],[RSVP]]="Y","Attending",IF(WeddingGuests[[#This Row],[RSVP]]="N","Not Attending","Unknown"))</f>
        <v>Not Attending</v>
      </c>
    </row>
    <row r="41" spans="1:9">
      <c r="A41" t="s">
        <v>87</v>
      </c>
      <c r="B41" s="2" t="s">
        <v>3</v>
      </c>
      <c r="C41" t="s">
        <v>6</v>
      </c>
      <c r="D41" s="1" t="s">
        <v>5</v>
      </c>
      <c r="E41">
        <v>0</v>
      </c>
      <c r="F41">
        <v>0</v>
      </c>
      <c r="G41">
        <f>WeddingGuests[[#This Row],[Adults]]+WeddingGuests[[#This Row],[Kids]]</f>
        <v>0</v>
      </c>
      <c r="H41">
        <f>IF(WeddingGuests[[#This Row],[RSVP]]="Y",WeddingGuests[[#This Row],[Total Guests]],0)</f>
        <v>0</v>
      </c>
      <c r="I41" t="str">
        <f>IF(WeddingGuests[[#This Row],[RSVP]]="Y","Attending",IF(WeddingGuests[[#This Row],[RSVP]]="N","Not Attending","Unknown"))</f>
        <v>Not Attending</v>
      </c>
    </row>
    <row r="42" spans="1:9">
      <c r="A42" t="s">
        <v>88</v>
      </c>
      <c r="B42" s="2" t="s">
        <v>3</v>
      </c>
      <c r="C42" t="s">
        <v>6</v>
      </c>
      <c r="D42" s="1" t="s">
        <v>5</v>
      </c>
      <c r="E42">
        <v>0</v>
      </c>
      <c r="F42">
        <v>0</v>
      </c>
      <c r="G42">
        <f>WeddingGuests[[#This Row],[Adults]]+WeddingGuests[[#This Row],[Kids]]</f>
        <v>0</v>
      </c>
      <c r="H42">
        <f>IF(WeddingGuests[[#This Row],[RSVP]]="Y",WeddingGuests[[#This Row],[Total Guests]],0)</f>
        <v>0</v>
      </c>
      <c r="I42" t="str">
        <f>IF(WeddingGuests[[#This Row],[RSVP]]="Y","Attending",IF(WeddingGuests[[#This Row],[RSVP]]="N","Not Attending","Unknown"))</f>
        <v>Not Attending</v>
      </c>
    </row>
    <row r="43" spans="1:9">
      <c r="A43" t="s">
        <v>137</v>
      </c>
      <c r="B43" t="s">
        <v>3</v>
      </c>
      <c r="C43" s="2" t="s">
        <v>6</v>
      </c>
      <c r="D43" s="1" t="s">
        <v>2</v>
      </c>
      <c r="E43" s="3">
        <v>2</v>
      </c>
      <c r="F43" s="3">
        <v>0</v>
      </c>
      <c r="G43">
        <f>WeddingGuests[[#This Row],[Adults]]+WeddingGuests[[#This Row],[Kids]]</f>
        <v>2</v>
      </c>
      <c r="H43">
        <f>IF(WeddingGuests[[#This Row],[RSVP]]="Y",WeddingGuests[[#This Row],[Total Guests]],0)</f>
        <v>2</v>
      </c>
      <c r="I43" t="str">
        <f>IF(WeddingGuests[[#This Row],[RSVP]]="Y","Attending",IF(WeddingGuests[[#This Row],[RSVP]]="N","Not Attending","Unknown"))</f>
        <v>Attending</v>
      </c>
    </row>
    <row r="44" spans="1:9">
      <c r="A44" t="s">
        <v>118</v>
      </c>
      <c r="B44" t="s">
        <v>3</v>
      </c>
      <c r="C44" t="s">
        <v>6</v>
      </c>
      <c r="D44" s="1" t="s">
        <v>5</v>
      </c>
      <c r="E44">
        <v>0</v>
      </c>
      <c r="F44">
        <v>0</v>
      </c>
      <c r="G44">
        <f>WeddingGuests[[#This Row],[Adults]]+WeddingGuests[[#This Row],[Kids]]</f>
        <v>0</v>
      </c>
      <c r="H44">
        <f>IF(WeddingGuests[[#This Row],[RSVP]]="Y",WeddingGuests[[#This Row],[Total Guests]],0)</f>
        <v>0</v>
      </c>
      <c r="I44" t="str">
        <f>IF(WeddingGuests[[#This Row],[RSVP]]="Y","Attending",IF(WeddingGuests[[#This Row],[RSVP]]="N","Not Attending","Unknown"))</f>
        <v>Not Attending</v>
      </c>
    </row>
    <row r="45" spans="1:9">
      <c r="A45" t="s">
        <v>119</v>
      </c>
      <c r="B45" t="s">
        <v>3</v>
      </c>
      <c r="C45" t="s">
        <v>6</v>
      </c>
      <c r="D45" s="1" t="s">
        <v>2</v>
      </c>
      <c r="E45">
        <v>2</v>
      </c>
      <c r="F45">
        <v>0</v>
      </c>
      <c r="G45">
        <f>WeddingGuests[[#This Row],[Adults]]+WeddingGuests[[#This Row],[Kids]]</f>
        <v>2</v>
      </c>
      <c r="H45">
        <f>IF(WeddingGuests[[#This Row],[RSVP]]="Y",WeddingGuests[[#This Row],[Total Guests]],0)</f>
        <v>2</v>
      </c>
      <c r="I45" t="str">
        <f>IF(WeddingGuests[[#This Row],[RSVP]]="Y","Attending",IF(WeddingGuests[[#This Row],[RSVP]]="N","Not Attending","Unknown"))</f>
        <v>Attending</v>
      </c>
    </row>
    <row r="46" spans="1:9">
      <c r="A46" t="s">
        <v>121</v>
      </c>
      <c r="B46" t="s">
        <v>3</v>
      </c>
      <c r="C46" t="s">
        <v>6</v>
      </c>
      <c r="D46" s="1" t="s">
        <v>5</v>
      </c>
      <c r="E46">
        <v>0</v>
      </c>
      <c r="F46">
        <v>0</v>
      </c>
      <c r="G46">
        <f>WeddingGuests[[#This Row],[Adults]]+WeddingGuests[[#This Row],[Kids]]</f>
        <v>0</v>
      </c>
      <c r="H46">
        <f>IF(WeddingGuests[[#This Row],[RSVP]]="Y",WeddingGuests[[#This Row],[Total Guests]],0)</f>
        <v>0</v>
      </c>
      <c r="I46" t="str">
        <f>IF(WeddingGuests[[#This Row],[RSVP]]="Y","Attending",IF(WeddingGuests[[#This Row],[RSVP]]="N","Not Attending","Unknown"))</f>
        <v>Not Attending</v>
      </c>
    </row>
    <row r="47" spans="1:9">
      <c r="A47" t="s">
        <v>9</v>
      </c>
      <c r="B47" t="s">
        <v>3</v>
      </c>
      <c r="C47" t="s">
        <v>4</v>
      </c>
      <c r="D47" s="1" t="s">
        <v>2</v>
      </c>
      <c r="E47">
        <v>2</v>
      </c>
      <c r="F47">
        <v>0</v>
      </c>
      <c r="G47">
        <f>WeddingGuests[[#This Row],[Adults]]+WeddingGuests[[#This Row],[Kids]]</f>
        <v>2</v>
      </c>
      <c r="H47">
        <f>IF(WeddingGuests[[#This Row],[RSVP]]="Y",WeddingGuests[[#This Row],[Total Guests]],0)</f>
        <v>2</v>
      </c>
      <c r="I47" t="str">
        <f>IF(WeddingGuests[[#This Row],[RSVP]]="Y","Attending",IF(WeddingGuests[[#This Row],[RSVP]]="N","Not Attending","Unknown"))</f>
        <v>Attending</v>
      </c>
    </row>
    <row r="48" spans="1:9">
      <c r="A48" t="s">
        <v>28</v>
      </c>
      <c r="B48" t="s">
        <v>3</v>
      </c>
      <c r="C48" t="s">
        <v>4</v>
      </c>
      <c r="D48" s="1" t="s">
        <v>2</v>
      </c>
      <c r="E48">
        <v>2</v>
      </c>
      <c r="F48">
        <v>0</v>
      </c>
      <c r="G48">
        <f>WeddingGuests[[#This Row],[Adults]]+WeddingGuests[[#This Row],[Kids]]</f>
        <v>2</v>
      </c>
      <c r="H48">
        <f>IF(WeddingGuests[[#This Row],[RSVP]]="Y",WeddingGuests[[#This Row],[Total Guests]],0)</f>
        <v>2</v>
      </c>
      <c r="I48" t="str">
        <f>IF(WeddingGuests[[#This Row],[RSVP]]="Y","Attending",IF(WeddingGuests[[#This Row],[RSVP]]="N","Not Attending","Unknown"))</f>
        <v>Attending</v>
      </c>
    </row>
    <row r="49" spans="1:9">
      <c r="A49" t="s">
        <v>131</v>
      </c>
      <c r="B49" t="s">
        <v>3</v>
      </c>
      <c r="C49" t="s">
        <v>4</v>
      </c>
      <c r="D49" s="1" t="s">
        <v>5</v>
      </c>
      <c r="E49">
        <v>0</v>
      </c>
      <c r="F49">
        <v>0</v>
      </c>
      <c r="G49">
        <f>WeddingGuests[[#This Row],[Adults]]+WeddingGuests[[#This Row],[Kids]]</f>
        <v>0</v>
      </c>
      <c r="H49">
        <f>IF(WeddingGuests[[#This Row],[RSVP]]="Y",WeddingGuests[[#This Row],[Total Guests]],0)</f>
        <v>0</v>
      </c>
      <c r="I49" t="str">
        <f>IF(WeddingGuests[[#This Row],[RSVP]]="Y","Attending",IF(WeddingGuests[[#This Row],[RSVP]]="N","Not Attending","Unknown"))</f>
        <v>Not Attending</v>
      </c>
    </row>
    <row r="50" spans="1:9">
      <c r="A50" t="s">
        <v>35</v>
      </c>
      <c r="B50" t="s">
        <v>3</v>
      </c>
      <c r="C50" t="s">
        <v>4</v>
      </c>
      <c r="D50" s="1" t="s">
        <v>5</v>
      </c>
      <c r="E50">
        <v>0</v>
      </c>
      <c r="F50">
        <v>0</v>
      </c>
      <c r="G50">
        <f>WeddingGuests[[#This Row],[Adults]]+WeddingGuests[[#This Row],[Kids]]</f>
        <v>0</v>
      </c>
      <c r="H50">
        <f>IF(WeddingGuests[[#This Row],[RSVP]]="Y",WeddingGuests[[#This Row],[Total Guests]],0)</f>
        <v>0</v>
      </c>
      <c r="I50" t="str">
        <f>IF(WeddingGuests[[#This Row],[RSVP]]="Y","Attending",IF(WeddingGuests[[#This Row],[RSVP]]="N","Not Attending","Unknown"))</f>
        <v>Not Attending</v>
      </c>
    </row>
    <row r="51" spans="1:9">
      <c r="A51" t="s">
        <v>42</v>
      </c>
      <c r="B51" t="s">
        <v>3</v>
      </c>
      <c r="C51" t="s">
        <v>4</v>
      </c>
      <c r="D51" s="1" t="s">
        <v>5</v>
      </c>
      <c r="E51">
        <v>0</v>
      </c>
      <c r="F51">
        <v>0</v>
      </c>
      <c r="G51">
        <f>WeddingGuests[[#This Row],[Adults]]+WeddingGuests[[#This Row],[Kids]]</f>
        <v>0</v>
      </c>
      <c r="H51">
        <f>IF(WeddingGuests[[#This Row],[RSVP]]="Y",WeddingGuests[[#This Row],[Total Guests]],0)</f>
        <v>0</v>
      </c>
      <c r="I51" t="str">
        <f>IF(WeddingGuests[[#This Row],[RSVP]]="Y","Attending",IF(WeddingGuests[[#This Row],[RSVP]]="N","Not Attending","Unknown"))</f>
        <v>Not Attending</v>
      </c>
    </row>
    <row r="52" spans="1:9">
      <c r="A52" t="s">
        <v>45</v>
      </c>
      <c r="B52" t="s">
        <v>3</v>
      </c>
      <c r="C52" t="s">
        <v>4</v>
      </c>
      <c r="D52" s="1" t="s">
        <v>2</v>
      </c>
      <c r="E52">
        <v>1</v>
      </c>
      <c r="F52">
        <v>0</v>
      </c>
      <c r="G52">
        <f>WeddingGuests[[#This Row],[Adults]]+WeddingGuests[[#This Row],[Kids]]</f>
        <v>1</v>
      </c>
      <c r="H52">
        <f>IF(WeddingGuests[[#This Row],[RSVP]]="Y",WeddingGuests[[#This Row],[Total Guests]],0)</f>
        <v>1</v>
      </c>
      <c r="I52" t="str">
        <f>IF(WeddingGuests[[#This Row],[RSVP]]="Y","Attending",IF(WeddingGuests[[#This Row],[RSVP]]="N","Not Attending","Unknown"))</f>
        <v>Attending</v>
      </c>
    </row>
    <row r="53" spans="1:9">
      <c r="A53" t="s">
        <v>47</v>
      </c>
      <c r="B53" t="s">
        <v>3</v>
      </c>
      <c r="C53" t="s">
        <v>4</v>
      </c>
      <c r="D53" s="1" t="s">
        <v>2</v>
      </c>
      <c r="E53">
        <v>2</v>
      </c>
      <c r="F53">
        <v>3</v>
      </c>
      <c r="G53">
        <f>WeddingGuests[[#This Row],[Adults]]+WeddingGuests[[#This Row],[Kids]]</f>
        <v>5</v>
      </c>
      <c r="H53">
        <f>IF(WeddingGuests[[#This Row],[RSVP]]="Y",WeddingGuests[[#This Row],[Total Guests]],0)</f>
        <v>5</v>
      </c>
      <c r="I53" t="str">
        <f>IF(WeddingGuests[[#This Row],[RSVP]]="Y","Attending",IF(WeddingGuests[[#This Row],[RSVP]]="N","Not Attending","Unknown"))</f>
        <v>Attending</v>
      </c>
    </row>
    <row r="54" spans="1:9">
      <c r="A54" t="s">
        <v>48</v>
      </c>
      <c r="B54" t="s">
        <v>3</v>
      </c>
      <c r="C54" t="s">
        <v>4</v>
      </c>
      <c r="D54" s="1" t="s">
        <v>5</v>
      </c>
      <c r="E54">
        <v>0</v>
      </c>
      <c r="F54">
        <v>0</v>
      </c>
      <c r="G54">
        <f>WeddingGuests[[#This Row],[Adults]]+WeddingGuests[[#This Row],[Kids]]</f>
        <v>0</v>
      </c>
      <c r="H54">
        <f>IF(WeddingGuests[[#This Row],[RSVP]]="Y",WeddingGuests[[#This Row],[Total Guests]],0)</f>
        <v>0</v>
      </c>
      <c r="I54" t="str">
        <f>IF(WeddingGuests[[#This Row],[RSVP]]="Y","Attending",IF(WeddingGuests[[#This Row],[RSVP]]="N","Not Attending","Unknown"))</f>
        <v>Not Attending</v>
      </c>
    </row>
    <row r="55" spans="1:9">
      <c r="A55" t="s">
        <v>50</v>
      </c>
      <c r="B55" t="s">
        <v>3</v>
      </c>
      <c r="C55" t="s">
        <v>4</v>
      </c>
      <c r="D55" s="1" t="s">
        <v>5</v>
      </c>
      <c r="E55">
        <v>0</v>
      </c>
      <c r="F55">
        <v>0</v>
      </c>
      <c r="G55">
        <f>WeddingGuests[[#This Row],[Adults]]+WeddingGuests[[#This Row],[Kids]]</f>
        <v>0</v>
      </c>
      <c r="H55">
        <f>IF(WeddingGuests[[#This Row],[RSVP]]="Y",WeddingGuests[[#This Row],[Total Guests]],0)</f>
        <v>0</v>
      </c>
      <c r="I55" t="str">
        <f>IF(WeddingGuests[[#This Row],[RSVP]]="Y","Attending",IF(WeddingGuests[[#This Row],[RSVP]]="N","Not Attending","Unknown"))</f>
        <v>Not Attending</v>
      </c>
    </row>
    <row r="56" spans="1:9">
      <c r="A56" t="s">
        <v>52</v>
      </c>
      <c r="B56" t="s">
        <v>3</v>
      </c>
      <c r="C56" t="s">
        <v>4</v>
      </c>
      <c r="D56" s="1" t="s">
        <v>2</v>
      </c>
      <c r="E56">
        <v>2</v>
      </c>
      <c r="F56">
        <v>1</v>
      </c>
      <c r="G56">
        <f>WeddingGuests[[#This Row],[Adults]]+WeddingGuests[[#This Row],[Kids]]</f>
        <v>3</v>
      </c>
      <c r="H56">
        <f>IF(WeddingGuests[[#This Row],[RSVP]]="Y",WeddingGuests[[#This Row],[Total Guests]],0)</f>
        <v>3</v>
      </c>
      <c r="I56" t="str">
        <f>IF(WeddingGuests[[#This Row],[RSVP]]="Y","Attending",IF(WeddingGuests[[#This Row],[RSVP]]="N","Not Attending","Unknown"))</f>
        <v>Attending</v>
      </c>
    </row>
    <row r="57" spans="1:9">
      <c r="A57" t="s">
        <v>53</v>
      </c>
      <c r="B57" t="s">
        <v>3</v>
      </c>
      <c r="C57" t="s">
        <v>4</v>
      </c>
      <c r="D57" s="1" t="s">
        <v>2</v>
      </c>
      <c r="E57">
        <v>2</v>
      </c>
      <c r="F57">
        <v>0</v>
      </c>
      <c r="G57">
        <f>WeddingGuests[[#This Row],[Adults]]+WeddingGuests[[#This Row],[Kids]]</f>
        <v>2</v>
      </c>
      <c r="H57">
        <f>IF(WeddingGuests[[#This Row],[RSVP]]="Y",WeddingGuests[[#This Row],[Total Guests]],0)</f>
        <v>2</v>
      </c>
      <c r="I57" t="str">
        <f>IF(WeddingGuests[[#This Row],[RSVP]]="Y","Attending",IF(WeddingGuests[[#This Row],[RSVP]]="N","Not Attending","Unknown"))</f>
        <v>Attending</v>
      </c>
    </row>
    <row r="58" spans="1:9">
      <c r="A58" t="s">
        <v>62</v>
      </c>
      <c r="B58" t="s">
        <v>3</v>
      </c>
      <c r="C58" t="s">
        <v>4</v>
      </c>
      <c r="D58" s="1" t="s">
        <v>2</v>
      </c>
      <c r="E58">
        <v>2</v>
      </c>
      <c r="F58">
        <v>0</v>
      </c>
      <c r="G58">
        <f>WeddingGuests[[#This Row],[Adults]]+WeddingGuests[[#This Row],[Kids]]</f>
        <v>2</v>
      </c>
      <c r="H58">
        <f>IF(WeddingGuests[[#This Row],[RSVP]]="Y",WeddingGuests[[#This Row],[Total Guests]],0)</f>
        <v>2</v>
      </c>
      <c r="I58" t="str">
        <f>IF(WeddingGuests[[#This Row],[RSVP]]="Y","Attending",IF(WeddingGuests[[#This Row],[RSVP]]="N","Not Attending","Unknown"))</f>
        <v>Attending</v>
      </c>
    </row>
    <row r="59" spans="1:9">
      <c r="A59" t="s">
        <v>63</v>
      </c>
      <c r="B59" t="s">
        <v>3</v>
      </c>
      <c r="C59" t="s">
        <v>4</v>
      </c>
      <c r="D59" s="1" t="s">
        <v>5</v>
      </c>
      <c r="E59">
        <v>0</v>
      </c>
      <c r="F59">
        <v>0</v>
      </c>
      <c r="G59">
        <f>WeddingGuests[[#This Row],[Adults]]+WeddingGuests[[#This Row],[Kids]]</f>
        <v>0</v>
      </c>
      <c r="H59">
        <f>IF(WeddingGuests[[#This Row],[RSVP]]="Y",WeddingGuests[[#This Row],[Total Guests]],0)</f>
        <v>0</v>
      </c>
      <c r="I59" t="str">
        <f>IF(WeddingGuests[[#This Row],[RSVP]]="Y","Attending",IF(WeddingGuests[[#This Row],[RSVP]]="N","Not Attending","Unknown"))</f>
        <v>Not Attending</v>
      </c>
    </row>
    <row r="60" spans="1:9">
      <c r="A60" t="s">
        <v>134</v>
      </c>
      <c r="B60" s="2" t="s">
        <v>3</v>
      </c>
      <c r="C60" t="s">
        <v>4</v>
      </c>
      <c r="D60" s="1" t="s">
        <v>5</v>
      </c>
      <c r="E60">
        <v>0</v>
      </c>
      <c r="F60">
        <v>0</v>
      </c>
      <c r="G60">
        <f>WeddingGuests[[#This Row],[Adults]]+WeddingGuests[[#This Row],[Kids]]</f>
        <v>0</v>
      </c>
      <c r="H60">
        <f>IF(WeddingGuests[[#This Row],[RSVP]]="Y",WeddingGuests[[#This Row],[Total Guests]],0)</f>
        <v>0</v>
      </c>
      <c r="I60" t="str">
        <f>IF(WeddingGuests[[#This Row],[RSVP]]="Y","Attending",IF(WeddingGuests[[#This Row],[RSVP]]="N","Not Attending","Unknown"))</f>
        <v>Not Attending</v>
      </c>
    </row>
    <row r="61" spans="1:9">
      <c r="A61" t="s">
        <v>72</v>
      </c>
      <c r="B61" t="s">
        <v>3</v>
      </c>
      <c r="C61" t="s">
        <v>4</v>
      </c>
      <c r="D61" s="1" t="s">
        <v>5</v>
      </c>
      <c r="E61">
        <v>0</v>
      </c>
      <c r="F61">
        <v>0</v>
      </c>
      <c r="G61">
        <f>WeddingGuests[[#This Row],[Adults]]+WeddingGuests[[#This Row],[Kids]]</f>
        <v>0</v>
      </c>
      <c r="H61">
        <f>IF(WeddingGuests[[#This Row],[RSVP]]="Y",WeddingGuests[[#This Row],[Total Guests]],0)</f>
        <v>0</v>
      </c>
      <c r="I61" t="str">
        <f>IF(WeddingGuests[[#This Row],[RSVP]]="Y","Attending",IF(WeddingGuests[[#This Row],[RSVP]]="N","Not Attending","Unknown"))</f>
        <v>Not Attending</v>
      </c>
    </row>
    <row r="62" spans="1:9">
      <c r="A62" t="s">
        <v>75</v>
      </c>
      <c r="B62" t="s">
        <v>3</v>
      </c>
      <c r="C62" t="s">
        <v>4</v>
      </c>
      <c r="D62" s="1" t="s">
        <v>2</v>
      </c>
      <c r="E62">
        <v>2</v>
      </c>
      <c r="F62">
        <v>0</v>
      </c>
      <c r="G62">
        <f>WeddingGuests[[#This Row],[Adults]]+WeddingGuests[[#This Row],[Kids]]</f>
        <v>2</v>
      </c>
      <c r="H62">
        <f>IF(WeddingGuests[[#This Row],[RSVP]]="Y",WeddingGuests[[#This Row],[Total Guests]],0)</f>
        <v>2</v>
      </c>
      <c r="I62" t="str">
        <f>IF(WeddingGuests[[#This Row],[RSVP]]="Y","Attending",IF(WeddingGuests[[#This Row],[RSVP]]="N","Not Attending","Unknown"))</f>
        <v>Attending</v>
      </c>
    </row>
    <row r="63" spans="1:9">
      <c r="A63" t="s">
        <v>78</v>
      </c>
      <c r="B63" t="s">
        <v>3</v>
      </c>
      <c r="C63" t="s">
        <v>4</v>
      </c>
      <c r="D63" s="1" t="s">
        <v>2</v>
      </c>
      <c r="E63">
        <v>2</v>
      </c>
      <c r="F63">
        <v>0</v>
      </c>
      <c r="G63">
        <f>WeddingGuests[[#This Row],[Adults]]+WeddingGuests[[#This Row],[Kids]]</f>
        <v>2</v>
      </c>
      <c r="H63">
        <f>IF(WeddingGuests[[#This Row],[RSVP]]="Y",WeddingGuests[[#This Row],[Total Guests]],0)</f>
        <v>2</v>
      </c>
      <c r="I63" t="str">
        <f>IF(WeddingGuests[[#This Row],[RSVP]]="Y","Attending",IF(WeddingGuests[[#This Row],[RSVP]]="N","Not Attending","Unknown"))</f>
        <v>Attending</v>
      </c>
    </row>
    <row r="64" spans="1:9">
      <c r="A64" t="s">
        <v>81</v>
      </c>
      <c r="B64" t="s">
        <v>3</v>
      </c>
      <c r="C64" t="s">
        <v>4</v>
      </c>
      <c r="D64" s="1" t="s">
        <v>2</v>
      </c>
      <c r="E64">
        <v>2</v>
      </c>
      <c r="F64">
        <v>0</v>
      </c>
      <c r="G64">
        <f>WeddingGuests[[#This Row],[Adults]]+WeddingGuests[[#This Row],[Kids]]</f>
        <v>2</v>
      </c>
      <c r="H64">
        <f>IF(WeddingGuests[[#This Row],[RSVP]]="Y",WeddingGuests[[#This Row],[Total Guests]],0)</f>
        <v>2</v>
      </c>
      <c r="I64" t="str">
        <f>IF(WeddingGuests[[#This Row],[RSVP]]="Y","Attending",IF(WeddingGuests[[#This Row],[RSVP]]="N","Not Attending","Unknown"))</f>
        <v>Attending</v>
      </c>
    </row>
    <row r="65" spans="1:9">
      <c r="A65" t="s">
        <v>89</v>
      </c>
      <c r="B65" s="2" t="s">
        <v>3</v>
      </c>
      <c r="C65" t="s">
        <v>4</v>
      </c>
      <c r="D65" s="1" t="s">
        <v>5</v>
      </c>
      <c r="E65">
        <v>0</v>
      </c>
      <c r="F65">
        <v>0</v>
      </c>
      <c r="G65">
        <f>WeddingGuests[[#This Row],[Adults]]+WeddingGuests[[#This Row],[Kids]]</f>
        <v>0</v>
      </c>
      <c r="H65">
        <f>IF(WeddingGuests[[#This Row],[RSVP]]="Y",WeddingGuests[[#This Row],[Total Guests]],0)</f>
        <v>0</v>
      </c>
      <c r="I65" t="str">
        <f>IF(WeddingGuests[[#This Row],[RSVP]]="Y","Attending",IF(WeddingGuests[[#This Row],[RSVP]]="N","Not Attending","Unknown"))</f>
        <v>Not Attending</v>
      </c>
    </row>
    <row r="66" spans="1:9">
      <c r="A66" t="s">
        <v>92</v>
      </c>
      <c r="B66" t="s">
        <v>3</v>
      </c>
      <c r="C66" t="s">
        <v>4</v>
      </c>
      <c r="D66" s="1" t="s">
        <v>5</v>
      </c>
      <c r="E66">
        <v>0</v>
      </c>
      <c r="F66">
        <v>0</v>
      </c>
      <c r="G66">
        <f>WeddingGuests[[#This Row],[Adults]]+WeddingGuests[[#This Row],[Kids]]</f>
        <v>0</v>
      </c>
      <c r="H66">
        <f>IF(WeddingGuests[[#This Row],[RSVP]]="Y",WeddingGuests[[#This Row],[Total Guests]],0)</f>
        <v>0</v>
      </c>
      <c r="I66" t="str">
        <f>IF(WeddingGuests[[#This Row],[RSVP]]="Y","Attending",IF(WeddingGuests[[#This Row],[RSVP]]="N","Not Attending","Unknown"))</f>
        <v>Not Attending</v>
      </c>
    </row>
    <row r="67" spans="1:9">
      <c r="A67" t="s">
        <v>93</v>
      </c>
      <c r="B67" t="s">
        <v>3</v>
      </c>
      <c r="C67" t="s">
        <v>4</v>
      </c>
      <c r="D67" s="1" t="s">
        <v>5</v>
      </c>
      <c r="E67">
        <v>0</v>
      </c>
      <c r="F67">
        <v>0</v>
      </c>
      <c r="G67">
        <f>WeddingGuests[[#This Row],[Adults]]+WeddingGuests[[#This Row],[Kids]]</f>
        <v>0</v>
      </c>
      <c r="H67">
        <f>IF(WeddingGuests[[#This Row],[RSVP]]="Y",WeddingGuests[[#This Row],[Total Guests]],0)</f>
        <v>0</v>
      </c>
      <c r="I67" t="str">
        <f>IF(WeddingGuests[[#This Row],[RSVP]]="Y","Attending",IF(WeddingGuests[[#This Row],[RSVP]]="N","Not Attending","Unknown"))</f>
        <v>Not Attending</v>
      </c>
    </row>
    <row r="68" spans="1:9">
      <c r="A68" t="s">
        <v>95</v>
      </c>
      <c r="B68" t="s">
        <v>3</v>
      </c>
      <c r="C68" t="s">
        <v>4</v>
      </c>
      <c r="D68" s="1" t="s">
        <v>2</v>
      </c>
      <c r="E68">
        <v>1</v>
      </c>
      <c r="F68">
        <v>0</v>
      </c>
      <c r="G68">
        <f>WeddingGuests[[#This Row],[Adults]]+WeddingGuests[[#This Row],[Kids]]</f>
        <v>1</v>
      </c>
      <c r="H68">
        <f>IF(WeddingGuests[[#This Row],[RSVP]]="Y",WeddingGuests[[#This Row],[Total Guests]],0)</f>
        <v>1</v>
      </c>
      <c r="I68" t="str">
        <f>IF(WeddingGuests[[#This Row],[RSVP]]="Y","Attending",IF(WeddingGuests[[#This Row],[RSVP]]="N","Not Attending","Unknown"))</f>
        <v>Attending</v>
      </c>
    </row>
    <row r="69" spans="1:9">
      <c r="A69" t="s">
        <v>105</v>
      </c>
      <c r="B69" t="s">
        <v>3</v>
      </c>
      <c r="C69" t="s">
        <v>4</v>
      </c>
      <c r="D69" s="1" t="s">
        <v>5</v>
      </c>
      <c r="E69">
        <v>0</v>
      </c>
      <c r="F69">
        <v>0</v>
      </c>
      <c r="G69">
        <f>WeddingGuests[[#This Row],[Adults]]+WeddingGuests[[#This Row],[Kids]]</f>
        <v>0</v>
      </c>
      <c r="H69">
        <f>IF(WeddingGuests[[#This Row],[RSVP]]="Y",WeddingGuests[[#This Row],[Total Guests]],0)</f>
        <v>0</v>
      </c>
      <c r="I69" t="str">
        <f>IF(WeddingGuests[[#This Row],[RSVP]]="Y","Attending",IF(WeddingGuests[[#This Row],[RSVP]]="N","Not Attending","Unknown"))</f>
        <v>Not Attending</v>
      </c>
    </row>
    <row r="70" spans="1:9">
      <c r="A70" t="s">
        <v>115</v>
      </c>
      <c r="B70" t="s">
        <v>3</v>
      </c>
      <c r="C70" t="s">
        <v>4</v>
      </c>
      <c r="D70" s="1" t="s">
        <v>2</v>
      </c>
      <c r="E70">
        <v>2</v>
      </c>
      <c r="F70">
        <v>0</v>
      </c>
      <c r="G70">
        <f>WeddingGuests[[#This Row],[Adults]]+WeddingGuests[[#This Row],[Kids]]</f>
        <v>2</v>
      </c>
      <c r="H70">
        <f>IF(WeddingGuests[[#This Row],[RSVP]]="Y",WeddingGuests[[#This Row],[Total Guests]],0)</f>
        <v>2</v>
      </c>
      <c r="I70" t="str">
        <f>IF(WeddingGuests[[#This Row],[RSVP]]="Y","Attending",IF(WeddingGuests[[#This Row],[RSVP]]="N","Not Attending","Unknown"))</f>
        <v>Attending</v>
      </c>
    </row>
    <row r="71" spans="1:9">
      <c r="A71" t="s">
        <v>117</v>
      </c>
      <c r="B71" t="s">
        <v>3</v>
      </c>
      <c r="C71" t="s">
        <v>4</v>
      </c>
      <c r="D71" s="1" t="s">
        <v>2</v>
      </c>
      <c r="E71">
        <v>1</v>
      </c>
      <c r="F71">
        <v>0</v>
      </c>
      <c r="G71">
        <f>WeddingGuests[[#This Row],[Adults]]+WeddingGuests[[#This Row],[Kids]]</f>
        <v>1</v>
      </c>
      <c r="H71">
        <f>IF(WeddingGuests[[#This Row],[RSVP]]="Y",WeddingGuests[[#This Row],[Total Guests]],0)</f>
        <v>1</v>
      </c>
      <c r="I71" t="str">
        <f>IF(WeddingGuests[[#This Row],[RSVP]]="Y","Attending",IF(WeddingGuests[[#This Row],[RSVP]]="N","Not Attending","Unknown"))</f>
        <v>Attending</v>
      </c>
    </row>
    <row r="72" spans="1:9">
      <c r="A72" t="s">
        <v>125</v>
      </c>
      <c r="B72" t="s">
        <v>3</v>
      </c>
      <c r="C72" t="s">
        <v>4</v>
      </c>
      <c r="D72" s="1" t="s">
        <v>5</v>
      </c>
      <c r="E72">
        <v>0</v>
      </c>
      <c r="F72">
        <v>0</v>
      </c>
      <c r="G72">
        <f>WeddingGuests[[#This Row],[Adults]]+WeddingGuests[[#This Row],[Kids]]</f>
        <v>0</v>
      </c>
      <c r="H72">
        <f>IF(WeddingGuests[[#This Row],[RSVP]]="Y",WeddingGuests[[#This Row],[Total Guests]],0)</f>
        <v>0</v>
      </c>
      <c r="I72" t="str">
        <f>IF(WeddingGuests[[#This Row],[RSVP]]="Y","Attending",IF(WeddingGuests[[#This Row],[RSVP]]="N","Not Attending","Unknown"))</f>
        <v>Not Attending</v>
      </c>
    </row>
    <row r="73" spans="1:9">
      <c r="A73" t="s">
        <v>8</v>
      </c>
      <c r="B73" t="s">
        <v>0</v>
      </c>
      <c r="C73" t="s">
        <v>1</v>
      </c>
      <c r="D73" s="1" t="s">
        <v>2</v>
      </c>
      <c r="E73">
        <v>2</v>
      </c>
      <c r="F73">
        <v>2</v>
      </c>
      <c r="G73">
        <f>WeddingGuests[[#This Row],[Adults]]+WeddingGuests[[#This Row],[Kids]]</f>
        <v>4</v>
      </c>
      <c r="H73">
        <f>IF(WeddingGuests[[#This Row],[RSVP]]="Y",WeddingGuests[[#This Row],[Total Guests]],0)</f>
        <v>4</v>
      </c>
      <c r="I73" t="str">
        <f>IF(WeddingGuests[[#This Row],[RSVP]]="Y","Attending",IF(WeddingGuests[[#This Row],[RSVP]]="N","Not Attending","Unknown"))</f>
        <v>Attending</v>
      </c>
    </row>
    <row r="74" spans="1:9">
      <c r="A74" t="s">
        <v>17</v>
      </c>
      <c r="B74" t="s">
        <v>0</v>
      </c>
      <c r="C74" t="s">
        <v>1</v>
      </c>
      <c r="D74" s="1" t="s">
        <v>2</v>
      </c>
      <c r="E74">
        <v>2</v>
      </c>
      <c r="F74">
        <v>0</v>
      </c>
      <c r="G74">
        <f>WeddingGuests[[#This Row],[Adults]]+WeddingGuests[[#This Row],[Kids]]</f>
        <v>2</v>
      </c>
      <c r="H74">
        <f>IF(WeddingGuests[[#This Row],[RSVP]]="Y",WeddingGuests[[#This Row],[Total Guests]],0)</f>
        <v>2</v>
      </c>
      <c r="I74" t="str">
        <f>IF(WeddingGuests[[#This Row],[RSVP]]="Y","Attending",IF(WeddingGuests[[#This Row],[RSVP]]="N","Not Attending","Unknown"))</f>
        <v>Attending</v>
      </c>
    </row>
    <row r="75" spans="1:9">
      <c r="A75" t="s">
        <v>18</v>
      </c>
      <c r="B75" t="s">
        <v>0</v>
      </c>
      <c r="C75" t="s">
        <v>1</v>
      </c>
      <c r="D75" s="1" t="s">
        <v>5</v>
      </c>
      <c r="E75">
        <v>0</v>
      </c>
      <c r="F75">
        <v>0</v>
      </c>
      <c r="G75">
        <f>WeddingGuests[[#This Row],[Adults]]+WeddingGuests[[#This Row],[Kids]]</f>
        <v>0</v>
      </c>
      <c r="H75">
        <f>IF(WeddingGuests[[#This Row],[RSVP]]="Y",WeddingGuests[[#This Row],[Total Guests]],0)</f>
        <v>0</v>
      </c>
      <c r="I75" t="str">
        <f>IF(WeddingGuests[[#This Row],[RSVP]]="Y","Attending",IF(WeddingGuests[[#This Row],[RSVP]]="N","Not Attending","Unknown"))</f>
        <v>Not Attending</v>
      </c>
    </row>
    <row r="76" spans="1:9">
      <c r="A76" t="s">
        <v>20</v>
      </c>
      <c r="B76" t="s">
        <v>0</v>
      </c>
      <c r="C76" t="s">
        <v>1</v>
      </c>
      <c r="D76" s="1" t="s">
        <v>2</v>
      </c>
      <c r="E76">
        <v>2</v>
      </c>
      <c r="F76">
        <v>0</v>
      </c>
      <c r="G76">
        <f>WeddingGuests[[#This Row],[Adults]]+WeddingGuests[[#This Row],[Kids]]</f>
        <v>2</v>
      </c>
      <c r="H76">
        <f>IF(WeddingGuests[[#This Row],[RSVP]]="Y",WeddingGuests[[#This Row],[Total Guests]],0)</f>
        <v>2</v>
      </c>
      <c r="I76" t="str">
        <f>IF(WeddingGuests[[#This Row],[RSVP]]="Y","Attending",IF(WeddingGuests[[#This Row],[RSVP]]="N","Not Attending","Unknown"))</f>
        <v>Attending</v>
      </c>
    </row>
    <row r="77" spans="1:9">
      <c r="A77" t="s">
        <v>37</v>
      </c>
      <c r="B77" t="s">
        <v>0</v>
      </c>
      <c r="C77" t="s">
        <v>1</v>
      </c>
      <c r="D77" s="1" t="s">
        <v>2</v>
      </c>
      <c r="E77">
        <v>2</v>
      </c>
      <c r="F77">
        <v>0</v>
      </c>
      <c r="G77">
        <f>WeddingGuests[[#This Row],[Adults]]+WeddingGuests[[#This Row],[Kids]]</f>
        <v>2</v>
      </c>
      <c r="H77">
        <f>IF(WeddingGuests[[#This Row],[RSVP]]="Y",WeddingGuests[[#This Row],[Total Guests]],0)</f>
        <v>2</v>
      </c>
      <c r="I77" t="str">
        <f>IF(WeddingGuests[[#This Row],[RSVP]]="Y","Attending",IF(WeddingGuests[[#This Row],[RSVP]]="N","Not Attending","Unknown"))</f>
        <v>Attending</v>
      </c>
    </row>
    <row r="78" spans="1:9">
      <c r="A78" t="s">
        <v>38</v>
      </c>
      <c r="B78" t="s">
        <v>0</v>
      </c>
      <c r="C78" t="s">
        <v>1</v>
      </c>
      <c r="D78" s="1" t="s">
        <v>5</v>
      </c>
      <c r="E78">
        <v>0</v>
      </c>
      <c r="F78">
        <v>0</v>
      </c>
      <c r="G78">
        <f>WeddingGuests[[#This Row],[Adults]]+WeddingGuests[[#This Row],[Kids]]</f>
        <v>0</v>
      </c>
      <c r="H78">
        <f>IF(WeddingGuests[[#This Row],[RSVP]]="Y",WeddingGuests[[#This Row],[Total Guests]],0)</f>
        <v>0</v>
      </c>
      <c r="I78" t="str">
        <f>IF(WeddingGuests[[#This Row],[RSVP]]="Y","Attending",IF(WeddingGuests[[#This Row],[RSVP]]="N","Not Attending","Unknown"))</f>
        <v>Not Attending</v>
      </c>
    </row>
    <row r="79" spans="1:9">
      <c r="A79" t="s">
        <v>43</v>
      </c>
      <c r="B79" t="s">
        <v>0</v>
      </c>
      <c r="C79" t="s">
        <v>1</v>
      </c>
      <c r="D79" s="1" t="s">
        <v>2</v>
      </c>
      <c r="E79">
        <v>1</v>
      </c>
      <c r="F79">
        <v>0</v>
      </c>
      <c r="G79">
        <f>WeddingGuests[[#This Row],[Adults]]+WeddingGuests[[#This Row],[Kids]]</f>
        <v>1</v>
      </c>
      <c r="H79">
        <f>IF(WeddingGuests[[#This Row],[RSVP]]="Y",WeddingGuests[[#This Row],[Total Guests]],0)</f>
        <v>1</v>
      </c>
      <c r="I79" t="str">
        <f>IF(WeddingGuests[[#This Row],[RSVP]]="Y","Attending",IF(WeddingGuests[[#This Row],[RSVP]]="N","Not Attending","Unknown"))</f>
        <v>Attending</v>
      </c>
    </row>
    <row r="80" spans="1:9">
      <c r="A80" t="s">
        <v>44</v>
      </c>
      <c r="B80" t="s">
        <v>0</v>
      </c>
      <c r="C80" t="s">
        <v>1</v>
      </c>
      <c r="D80" s="1" t="s">
        <v>5</v>
      </c>
      <c r="E80">
        <v>0</v>
      </c>
      <c r="F80">
        <v>0</v>
      </c>
      <c r="G80">
        <f>WeddingGuests[[#This Row],[Adults]]+WeddingGuests[[#This Row],[Kids]]</f>
        <v>0</v>
      </c>
      <c r="H80">
        <f>IF(WeddingGuests[[#This Row],[RSVP]]="Y",WeddingGuests[[#This Row],[Total Guests]],0)</f>
        <v>0</v>
      </c>
      <c r="I80" t="str">
        <f>IF(WeddingGuests[[#This Row],[RSVP]]="Y","Attending",IF(WeddingGuests[[#This Row],[RSVP]]="N","Not Attending","Unknown"))</f>
        <v>Not Attending</v>
      </c>
    </row>
    <row r="81" spans="1:9">
      <c r="A81" t="s">
        <v>49</v>
      </c>
      <c r="B81" t="s">
        <v>0</v>
      </c>
      <c r="C81" t="s">
        <v>1</v>
      </c>
      <c r="D81" s="1" t="s">
        <v>5</v>
      </c>
      <c r="E81">
        <v>0</v>
      </c>
      <c r="F81">
        <v>0</v>
      </c>
      <c r="G81">
        <f>WeddingGuests[[#This Row],[Adults]]+WeddingGuests[[#This Row],[Kids]]</f>
        <v>0</v>
      </c>
      <c r="H81">
        <f>IF(WeddingGuests[[#This Row],[RSVP]]="Y",WeddingGuests[[#This Row],[Total Guests]],0)</f>
        <v>0</v>
      </c>
      <c r="I81" t="str">
        <f>IF(WeddingGuests[[#This Row],[RSVP]]="Y","Attending",IF(WeddingGuests[[#This Row],[RSVP]]="N","Not Attending","Unknown"))</f>
        <v>Not Attending</v>
      </c>
    </row>
    <row r="82" spans="1:9">
      <c r="A82" t="s">
        <v>55</v>
      </c>
      <c r="B82" t="s">
        <v>0</v>
      </c>
      <c r="C82" t="s">
        <v>1</v>
      </c>
      <c r="D82" s="1" t="s">
        <v>2</v>
      </c>
      <c r="E82">
        <v>2</v>
      </c>
      <c r="F82">
        <v>0</v>
      </c>
      <c r="G82">
        <f>WeddingGuests[[#This Row],[Adults]]+WeddingGuests[[#This Row],[Kids]]</f>
        <v>2</v>
      </c>
      <c r="H82">
        <f>IF(WeddingGuests[[#This Row],[RSVP]]="Y",WeddingGuests[[#This Row],[Total Guests]],0)</f>
        <v>2</v>
      </c>
      <c r="I82" t="str">
        <f>IF(WeddingGuests[[#This Row],[RSVP]]="Y","Attending",IF(WeddingGuests[[#This Row],[RSVP]]="N","Not Attending","Unknown"))</f>
        <v>Attending</v>
      </c>
    </row>
    <row r="83" spans="1:9">
      <c r="A83" t="s">
        <v>57</v>
      </c>
      <c r="B83" t="s">
        <v>0</v>
      </c>
      <c r="C83" t="s">
        <v>1</v>
      </c>
      <c r="D83" s="1" t="s">
        <v>2</v>
      </c>
      <c r="E83">
        <v>2</v>
      </c>
      <c r="F83">
        <v>0</v>
      </c>
      <c r="G83">
        <f>WeddingGuests[[#This Row],[Adults]]+WeddingGuests[[#This Row],[Kids]]</f>
        <v>2</v>
      </c>
      <c r="H83">
        <f>IF(WeddingGuests[[#This Row],[RSVP]]="Y",WeddingGuests[[#This Row],[Total Guests]],0)</f>
        <v>2</v>
      </c>
      <c r="I83" t="str">
        <f>IF(WeddingGuests[[#This Row],[RSVP]]="Y","Attending",IF(WeddingGuests[[#This Row],[RSVP]]="N","Not Attending","Unknown"))</f>
        <v>Attending</v>
      </c>
    </row>
    <row r="84" spans="1:9">
      <c r="A84" t="s">
        <v>68</v>
      </c>
      <c r="B84" t="s">
        <v>0</v>
      </c>
      <c r="C84" t="s">
        <v>1</v>
      </c>
      <c r="D84" s="1" t="s">
        <v>2</v>
      </c>
      <c r="E84">
        <v>2</v>
      </c>
      <c r="F84">
        <v>0</v>
      </c>
      <c r="G84">
        <f>WeddingGuests[[#This Row],[Adults]]+WeddingGuests[[#This Row],[Kids]]</f>
        <v>2</v>
      </c>
      <c r="H84">
        <f>IF(WeddingGuests[[#This Row],[RSVP]]="Y",WeddingGuests[[#This Row],[Total Guests]],0)</f>
        <v>2</v>
      </c>
      <c r="I84" t="str">
        <f>IF(WeddingGuests[[#This Row],[RSVP]]="Y","Attending",IF(WeddingGuests[[#This Row],[RSVP]]="N","Not Attending","Unknown"))</f>
        <v>Attending</v>
      </c>
    </row>
    <row r="85" spans="1:9">
      <c r="A85" t="s">
        <v>70</v>
      </c>
      <c r="B85" t="s">
        <v>0</v>
      </c>
      <c r="C85" t="s">
        <v>1</v>
      </c>
      <c r="D85" s="1" t="s">
        <v>2</v>
      </c>
      <c r="E85">
        <v>1</v>
      </c>
      <c r="F85">
        <v>0</v>
      </c>
      <c r="G85">
        <f>WeddingGuests[[#This Row],[Adults]]+WeddingGuests[[#This Row],[Kids]]</f>
        <v>1</v>
      </c>
      <c r="H85">
        <f>IF(WeddingGuests[[#This Row],[RSVP]]="Y",WeddingGuests[[#This Row],[Total Guests]],0)</f>
        <v>1</v>
      </c>
      <c r="I85" t="str">
        <f>IF(WeddingGuests[[#This Row],[RSVP]]="Y","Attending",IF(WeddingGuests[[#This Row],[RSVP]]="N","Not Attending","Unknown"))</f>
        <v>Attending</v>
      </c>
    </row>
    <row r="86" spans="1:9">
      <c r="A86" t="s">
        <v>76</v>
      </c>
      <c r="B86" t="s">
        <v>0</v>
      </c>
      <c r="C86" t="s">
        <v>1</v>
      </c>
      <c r="D86" s="1" t="s">
        <v>2</v>
      </c>
      <c r="E86">
        <v>2</v>
      </c>
      <c r="F86">
        <v>0</v>
      </c>
      <c r="G86">
        <f>WeddingGuests[[#This Row],[Adults]]+WeddingGuests[[#This Row],[Kids]]</f>
        <v>2</v>
      </c>
      <c r="H86">
        <f>IF(WeddingGuests[[#This Row],[RSVP]]="Y",WeddingGuests[[#This Row],[Total Guests]],0)</f>
        <v>2</v>
      </c>
      <c r="I86" t="str">
        <f>IF(WeddingGuests[[#This Row],[RSVP]]="Y","Attending",IF(WeddingGuests[[#This Row],[RSVP]]="N","Not Attending","Unknown"))</f>
        <v>Attending</v>
      </c>
    </row>
    <row r="87" spans="1:9">
      <c r="A87" t="s">
        <v>80</v>
      </c>
      <c r="B87" t="s">
        <v>0</v>
      </c>
      <c r="C87" t="s">
        <v>1</v>
      </c>
      <c r="D87" s="1" t="s">
        <v>2</v>
      </c>
      <c r="E87">
        <v>2</v>
      </c>
      <c r="F87">
        <v>0</v>
      </c>
      <c r="G87">
        <f>WeddingGuests[[#This Row],[Adults]]+WeddingGuests[[#This Row],[Kids]]</f>
        <v>2</v>
      </c>
      <c r="H87">
        <f>IF(WeddingGuests[[#This Row],[RSVP]]="Y",WeddingGuests[[#This Row],[Total Guests]],0)</f>
        <v>2</v>
      </c>
      <c r="I87" t="str">
        <f>IF(WeddingGuests[[#This Row],[RSVP]]="Y","Attending",IF(WeddingGuests[[#This Row],[RSVP]]="N","Not Attending","Unknown"))</f>
        <v>Attending</v>
      </c>
    </row>
    <row r="88" spans="1:9">
      <c r="A88" t="s">
        <v>83</v>
      </c>
      <c r="B88" t="s">
        <v>0</v>
      </c>
      <c r="C88" t="s">
        <v>1</v>
      </c>
      <c r="D88" s="1" t="s">
        <v>5</v>
      </c>
      <c r="E88">
        <v>0</v>
      </c>
      <c r="F88">
        <v>0</v>
      </c>
      <c r="G88">
        <f>WeddingGuests[[#This Row],[Adults]]+WeddingGuests[[#This Row],[Kids]]</f>
        <v>0</v>
      </c>
      <c r="H88">
        <f>IF(WeddingGuests[[#This Row],[RSVP]]="Y",WeddingGuests[[#This Row],[Total Guests]],0)</f>
        <v>0</v>
      </c>
      <c r="I88" t="str">
        <f>IF(WeddingGuests[[#This Row],[RSVP]]="Y","Attending",IF(WeddingGuests[[#This Row],[RSVP]]="N","Not Attending","Unknown"))</f>
        <v>Not Attending</v>
      </c>
    </row>
    <row r="89" spans="1:9">
      <c r="A89" t="s">
        <v>100</v>
      </c>
      <c r="B89" t="s">
        <v>0</v>
      </c>
      <c r="C89" t="s">
        <v>1</v>
      </c>
      <c r="D89" s="1" t="s">
        <v>2</v>
      </c>
      <c r="E89">
        <v>2</v>
      </c>
      <c r="F89">
        <v>0</v>
      </c>
      <c r="G89">
        <f>WeddingGuests[[#This Row],[Adults]]+WeddingGuests[[#This Row],[Kids]]</f>
        <v>2</v>
      </c>
      <c r="H89">
        <f>IF(WeddingGuests[[#This Row],[RSVP]]="Y",WeddingGuests[[#This Row],[Total Guests]],0)</f>
        <v>2</v>
      </c>
      <c r="I89" t="str">
        <f>IF(WeddingGuests[[#This Row],[RSVP]]="Y","Attending",IF(WeddingGuests[[#This Row],[RSVP]]="N","Not Attending","Unknown"))</f>
        <v>Attending</v>
      </c>
    </row>
    <row r="90" spans="1:9">
      <c r="A90" t="s">
        <v>101</v>
      </c>
      <c r="B90" t="s">
        <v>0</v>
      </c>
      <c r="C90" t="s">
        <v>1</v>
      </c>
      <c r="D90" s="1" t="s">
        <v>2</v>
      </c>
      <c r="E90">
        <v>1</v>
      </c>
      <c r="F90">
        <v>0</v>
      </c>
      <c r="G90">
        <f>WeddingGuests[[#This Row],[Adults]]+WeddingGuests[[#This Row],[Kids]]</f>
        <v>1</v>
      </c>
      <c r="H90">
        <f>IF(WeddingGuests[[#This Row],[RSVP]]="Y",WeddingGuests[[#This Row],[Total Guests]],0)</f>
        <v>1</v>
      </c>
      <c r="I90" t="str">
        <f>IF(WeddingGuests[[#This Row],[RSVP]]="Y","Attending",IF(WeddingGuests[[#This Row],[RSVP]]="N","Not Attending","Unknown"))</f>
        <v>Attending</v>
      </c>
    </row>
    <row r="91" spans="1:9">
      <c r="A91" t="s">
        <v>103</v>
      </c>
      <c r="B91" t="s">
        <v>0</v>
      </c>
      <c r="C91" t="s">
        <v>1</v>
      </c>
      <c r="D91" s="1" t="s">
        <v>2</v>
      </c>
      <c r="E91">
        <v>2</v>
      </c>
      <c r="F91">
        <v>0</v>
      </c>
      <c r="G91">
        <f>WeddingGuests[[#This Row],[Adults]]+WeddingGuests[[#This Row],[Kids]]</f>
        <v>2</v>
      </c>
      <c r="H91">
        <f>IF(WeddingGuests[[#This Row],[RSVP]]="Y",WeddingGuests[[#This Row],[Total Guests]],0)</f>
        <v>2</v>
      </c>
      <c r="I91" t="str">
        <f>IF(WeddingGuests[[#This Row],[RSVP]]="Y","Attending",IF(WeddingGuests[[#This Row],[RSVP]]="N","Not Attending","Unknown"))</f>
        <v>Attending</v>
      </c>
    </row>
    <row r="92" spans="1:9">
      <c r="A92" t="s">
        <v>111</v>
      </c>
      <c r="B92" t="s">
        <v>0</v>
      </c>
      <c r="C92" t="s">
        <v>1</v>
      </c>
      <c r="D92" s="1" t="s">
        <v>5</v>
      </c>
      <c r="E92">
        <v>0</v>
      </c>
      <c r="F92">
        <v>0</v>
      </c>
      <c r="G92">
        <f>WeddingGuests[[#This Row],[Adults]]+WeddingGuests[[#This Row],[Kids]]</f>
        <v>0</v>
      </c>
      <c r="H92">
        <f>IF(WeddingGuests[[#This Row],[RSVP]]="Y",WeddingGuests[[#This Row],[Total Guests]],0)</f>
        <v>0</v>
      </c>
      <c r="I92" t="str">
        <f>IF(WeddingGuests[[#This Row],[RSVP]]="Y","Attending",IF(WeddingGuests[[#This Row],[RSVP]]="N","Not Attending","Unknown"))</f>
        <v>Not Attending</v>
      </c>
    </row>
    <row r="93" spans="1:9">
      <c r="A93" t="s">
        <v>112</v>
      </c>
      <c r="B93" t="s">
        <v>0</v>
      </c>
      <c r="C93" t="s">
        <v>1</v>
      </c>
      <c r="D93" s="1" t="s">
        <v>2</v>
      </c>
      <c r="E93">
        <v>1</v>
      </c>
      <c r="F93">
        <v>0</v>
      </c>
      <c r="G93">
        <f>WeddingGuests[[#This Row],[Adults]]+WeddingGuests[[#This Row],[Kids]]</f>
        <v>1</v>
      </c>
      <c r="H93">
        <f>IF(WeddingGuests[[#This Row],[RSVP]]="Y",WeddingGuests[[#This Row],[Total Guests]],0)</f>
        <v>1</v>
      </c>
      <c r="I93" t="str">
        <f>IF(WeddingGuests[[#This Row],[RSVP]]="Y","Attending",IF(WeddingGuests[[#This Row],[RSVP]]="N","Not Attending","Unknown"))</f>
        <v>Attending</v>
      </c>
    </row>
    <row r="94" spans="1:9">
      <c r="A94" t="s">
        <v>113</v>
      </c>
      <c r="B94" t="s">
        <v>0</v>
      </c>
      <c r="C94" t="s">
        <v>1</v>
      </c>
      <c r="D94" s="1" t="s">
        <v>2</v>
      </c>
      <c r="E94">
        <v>2</v>
      </c>
      <c r="F94">
        <v>0</v>
      </c>
      <c r="G94">
        <f>WeddingGuests[[#This Row],[Adults]]+WeddingGuests[[#This Row],[Kids]]</f>
        <v>2</v>
      </c>
      <c r="H94">
        <f>IF(WeddingGuests[[#This Row],[RSVP]]="Y",WeddingGuests[[#This Row],[Total Guests]],0)</f>
        <v>2</v>
      </c>
      <c r="I94" t="str">
        <f>IF(WeddingGuests[[#This Row],[RSVP]]="Y","Attending",IF(WeddingGuests[[#This Row],[RSVP]]="N","Not Attending","Unknown"))</f>
        <v>Attending</v>
      </c>
    </row>
    <row r="95" spans="1:9">
      <c r="A95" t="s">
        <v>114</v>
      </c>
      <c r="B95" t="s">
        <v>0</v>
      </c>
      <c r="C95" t="s">
        <v>1</v>
      </c>
      <c r="D95" s="1" t="s">
        <v>5</v>
      </c>
      <c r="E95">
        <v>0</v>
      </c>
      <c r="F95">
        <v>0</v>
      </c>
      <c r="G95">
        <f>WeddingGuests[[#This Row],[Adults]]+WeddingGuests[[#This Row],[Kids]]</f>
        <v>0</v>
      </c>
      <c r="H95">
        <f>IF(WeddingGuests[[#This Row],[RSVP]]="Y",WeddingGuests[[#This Row],[Total Guests]],0)</f>
        <v>0</v>
      </c>
      <c r="I95" t="str">
        <f>IF(WeddingGuests[[#This Row],[RSVP]]="Y","Attending",IF(WeddingGuests[[#This Row],[RSVP]]="N","Not Attending","Unknown"))</f>
        <v>Not Attending</v>
      </c>
    </row>
    <row r="96" spans="1:9">
      <c r="A96" t="s">
        <v>124</v>
      </c>
      <c r="B96" t="s">
        <v>0</v>
      </c>
      <c r="C96" t="s">
        <v>1</v>
      </c>
      <c r="D96" s="1" t="s">
        <v>2</v>
      </c>
      <c r="E96">
        <v>2</v>
      </c>
      <c r="F96">
        <v>0</v>
      </c>
      <c r="G96">
        <f>WeddingGuests[[#This Row],[Adults]]+WeddingGuests[[#This Row],[Kids]]</f>
        <v>2</v>
      </c>
      <c r="H96">
        <f>IF(WeddingGuests[[#This Row],[RSVP]]="Y",WeddingGuests[[#This Row],[Total Guests]],0)</f>
        <v>2</v>
      </c>
      <c r="I96" t="str">
        <f>IF(WeddingGuests[[#This Row],[RSVP]]="Y","Attending",IF(WeddingGuests[[#This Row],[RSVP]]="N","Not Attending","Unknown"))</f>
        <v>Attending</v>
      </c>
    </row>
    <row r="97" spans="1:9">
      <c r="A97" t="s">
        <v>13</v>
      </c>
      <c r="B97" t="s">
        <v>0</v>
      </c>
      <c r="C97" t="s">
        <v>6</v>
      </c>
      <c r="D97" s="1" t="s">
        <v>5</v>
      </c>
      <c r="E97">
        <v>0</v>
      </c>
      <c r="F97">
        <v>0</v>
      </c>
      <c r="G97">
        <f>WeddingGuests[[#This Row],[Adults]]+WeddingGuests[[#This Row],[Kids]]</f>
        <v>0</v>
      </c>
      <c r="H97">
        <f>IF(WeddingGuests[[#This Row],[RSVP]]="Y",WeddingGuests[[#This Row],[Total Guests]],0)</f>
        <v>0</v>
      </c>
      <c r="I97" t="str">
        <f>IF(WeddingGuests[[#This Row],[RSVP]]="Y","Attending",IF(WeddingGuests[[#This Row],[RSVP]]="N","Not Attending","Unknown"))</f>
        <v>Not Attending</v>
      </c>
    </row>
    <row r="98" spans="1:9">
      <c r="A98" t="s">
        <v>14</v>
      </c>
      <c r="B98" t="s">
        <v>0</v>
      </c>
      <c r="C98" t="s">
        <v>6</v>
      </c>
      <c r="D98" s="1" t="s">
        <v>5</v>
      </c>
      <c r="E98">
        <v>0</v>
      </c>
      <c r="F98">
        <v>0</v>
      </c>
      <c r="G98">
        <f>WeddingGuests[[#This Row],[Adults]]+WeddingGuests[[#This Row],[Kids]]</f>
        <v>0</v>
      </c>
      <c r="H98">
        <f>IF(WeddingGuests[[#This Row],[RSVP]]="Y",WeddingGuests[[#This Row],[Total Guests]],0)</f>
        <v>0</v>
      </c>
      <c r="I98" t="str">
        <f>IF(WeddingGuests[[#This Row],[RSVP]]="Y","Attending",IF(WeddingGuests[[#This Row],[RSVP]]="N","Not Attending","Unknown"))</f>
        <v>Not Attending</v>
      </c>
    </row>
    <row r="99" spans="1:9">
      <c r="A99" t="s">
        <v>15</v>
      </c>
      <c r="B99" t="s">
        <v>0</v>
      </c>
      <c r="C99" t="s">
        <v>6</v>
      </c>
      <c r="D99" s="1" t="s">
        <v>5</v>
      </c>
      <c r="E99">
        <v>0</v>
      </c>
      <c r="F99">
        <v>0</v>
      </c>
      <c r="G99">
        <f>WeddingGuests[[#This Row],[Adults]]+WeddingGuests[[#This Row],[Kids]]</f>
        <v>0</v>
      </c>
      <c r="H99">
        <f>IF(WeddingGuests[[#This Row],[RSVP]]="Y",WeddingGuests[[#This Row],[Total Guests]],0)</f>
        <v>0</v>
      </c>
      <c r="I99" t="str">
        <f>IF(WeddingGuests[[#This Row],[RSVP]]="Y","Attending",IF(WeddingGuests[[#This Row],[RSVP]]="N","Not Attending","Unknown"))</f>
        <v>Not Attending</v>
      </c>
    </row>
    <row r="100" spans="1:9">
      <c r="A100" t="s">
        <v>21</v>
      </c>
      <c r="B100" t="s">
        <v>0</v>
      </c>
      <c r="C100" t="s">
        <v>6</v>
      </c>
      <c r="D100" s="1" t="s">
        <v>2</v>
      </c>
      <c r="E100">
        <v>4</v>
      </c>
      <c r="F100">
        <v>0</v>
      </c>
      <c r="G100">
        <f>WeddingGuests[[#This Row],[Adults]]+WeddingGuests[[#This Row],[Kids]]</f>
        <v>4</v>
      </c>
      <c r="H100">
        <f>IF(WeddingGuests[[#This Row],[RSVP]]="Y",WeddingGuests[[#This Row],[Total Guests]],0)</f>
        <v>4</v>
      </c>
      <c r="I100" t="str">
        <f>IF(WeddingGuests[[#This Row],[RSVP]]="Y","Attending",IF(WeddingGuests[[#This Row],[RSVP]]="N","Not Attending","Unknown"))</f>
        <v>Attending</v>
      </c>
    </row>
    <row r="101" spans="1:9">
      <c r="A101" t="s">
        <v>36</v>
      </c>
      <c r="B101" t="s">
        <v>0</v>
      </c>
      <c r="C101" t="s">
        <v>6</v>
      </c>
      <c r="D101" s="1" t="s">
        <v>2</v>
      </c>
      <c r="E101">
        <v>1</v>
      </c>
      <c r="F101">
        <v>0</v>
      </c>
      <c r="G101">
        <f>WeddingGuests[[#This Row],[Adults]]+WeddingGuests[[#This Row],[Kids]]</f>
        <v>1</v>
      </c>
      <c r="H101">
        <f>IF(WeddingGuests[[#This Row],[RSVP]]="Y",WeddingGuests[[#This Row],[Total Guests]],0)</f>
        <v>1</v>
      </c>
      <c r="I101" t="str">
        <f>IF(WeddingGuests[[#This Row],[RSVP]]="Y","Attending",IF(WeddingGuests[[#This Row],[RSVP]]="N","Not Attending","Unknown"))</f>
        <v>Attending</v>
      </c>
    </row>
    <row r="102" spans="1:9">
      <c r="A102" t="s">
        <v>39</v>
      </c>
      <c r="B102" t="s">
        <v>0</v>
      </c>
      <c r="C102" t="s">
        <v>6</v>
      </c>
      <c r="D102" s="1" t="s">
        <v>2</v>
      </c>
      <c r="E102">
        <v>2</v>
      </c>
      <c r="F102">
        <v>2</v>
      </c>
      <c r="G102">
        <f>WeddingGuests[[#This Row],[Adults]]+WeddingGuests[[#This Row],[Kids]]</f>
        <v>4</v>
      </c>
      <c r="H102">
        <f>IF(WeddingGuests[[#This Row],[RSVP]]="Y",WeddingGuests[[#This Row],[Total Guests]],0)</f>
        <v>4</v>
      </c>
      <c r="I102" t="str">
        <f>IF(WeddingGuests[[#This Row],[RSVP]]="Y","Attending",IF(WeddingGuests[[#This Row],[RSVP]]="N","Not Attending","Unknown"))</f>
        <v>Attending</v>
      </c>
    </row>
    <row r="103" spans="1:9">
      <c r="A103" t="s">
        <v>40</v>
      </c>
      <c r="B103" t="s">
        <v>0</v>
      </c>
      <c r="C103" t="s">
        <v>6</v>
      </c>
      <c r="D103" s="1" t="s">
        <v>2</v>
      </c>
      <c r="E103">
        <v>2</v>
      </c>
      <c r="F103">
        <v>0</v>
      </c>
      <c r="G103">
        <f>WeddingGuests[[#This Row],[Adults]]+WeddingGuests[[#This Row],[Kids]]</f>
        <v>2</v>
      </c>
      <c r="H103">
        <f>IF(WeddingGuests[[#This Row],[RSVP]]="Y",WeddingGuests[[#This Row],[Total Guests]],0)</f>
        <v>2</v>
      </c>
      <c r="I103" t="str">
        <f>IF(WeddingGuests[[#This Row],[RSVP]]="Y","Attending",IF(WeddingGuests[[#This Row],[RSVP]]="N","Not Attending","Unknown"))</f>
        <v>Attending</v>
      </c>
    </row>
    <row r="104" spans="1:9">
      <c r="A104" t="s">
        <v>64</v>
      </c>
      <c r="B104" t="s">
        <v>0</v>
      </c>
      <c r="C104" t="s">
        <v>6</v>
      </c>
      <c r="D104" s="1" t="s">
        <v>2</v>
      </c>
      <c r="E104">
        <v>2</v>
      </c>
      <c r="F104">
        <v>0</v>
      </c>
      <c r="G104">
        <f>WeddingGuests[[#This Row],[Adults]]+WeddingGuests[[#This Row],[Kids]]</f>
        <v>2</v>
      </c>
      <c r="H104">
        <f>IF(WeddingGuests[[#This Row],[RSVP]]="Y",WeddingGuests[[#This Row],[Total Guests]],0)</f>
        <v>2</v>
      </c>
      <c r="I104" t="str">
        <f>IF(WeddingGuests[[#This Row],[RSVP]]="Y","Attending",IF(WeddingGuests[[#This Row],[RSVP]]="N","Not Attending","Unknown"))</f>
        <v>Attending</v>
      </c>
    </row>
    <row r="105" spans="1:9">
      <c r="A105" t="s">
        <v>40</v>
      </c>
      <c r="B105" t="s">
        <v>0</v>
      </c>
      <c r="C105" t="s">
        <v>6</v>
      </c>
      <c r="D105" s="1" t="s">
        <v>2</v>
      </c>
      <c r="E105">
        <v>1</v>
      </c>
      <c r="F105">
        <v>0</v>
      </c>
      <c r="G105">
        <f>WeddingGuests[[#This Row],[Adults]]+WeddingGuests[[#This Row],[Kids]]</f>
        <v>1</v>
      </c>
      <c r="H105">
        <f>IF(WeddingGuests[[#This Row],[RSVP]]="Y",WeddingGuests[[#This Row],[Total Guests]],0)</f>
        <v>1</v>
      </c>
      <c r="I105" t="str">
        <f>IF(WeddingGuests[[#This Row],[RSVP]]="Y","Attending",IF(WeddingGuests[[#This Row],[RSVP]]="N","Not Attending","Unknown"))</f>
        <v>Attending</v>
      </c>
    </row>
    <row r="106" spans="1:9">
      <c r="A106" t="s">
        <v>71</v>
      </c>
      <c r="B106" t="s">
        <v>0</v>
      </c>
      <c r="C106" t="s">
        <v>6</v>
      </c>
      <c r="D106" s="1" t="s">
        <v>5</v>
      </c>
      <c r="E106">
        <v>0</v>
      </c>
      <c r="F106">
        <v>0</v>
      </c>
      <c r="G106">
        <f>WeddingGuests[[#This Row],[Adults]]+WeddingGuests[[#This Row],[Kids]]</f>
        <v>0</v>
      </c>
      <c r="H106">
        <f>IF(WeddingGuests[[#This Row],[RSVP]]="Y",WeddingGuests[[#This Row],[Total Guests]],0)</f>
        <v>0</v>
      </c>
      <c r="I106" t="str">
        <f>IF(WeddingGuests[[#This Row],[RSVP]]="Y","Attending",IF(WeddingGuests[[#This Row],[RSVP]]="N","Not Attending","Unknown"))</f>
        <v>Not Attending</v>
      </c>
    </row>
    <row r="107" spans="1:9">
      <c r="A107" t="s">
        <v>99</v>
      </c>
      <c r="B107" t="s">
        <v>0</v>
      </c>
      <c r="C107" t="s">
        <v>6</v>
      </c>
      <c r="D107" s="1" t="s">
        <v>5</v>
      </c>
      <c r="E107">
        <v>0</v>
      </c>
      <c r="F107">
        <v>0</v>
      </c>
      <c r="G107">
        <f>WeddingGuests[[#This Row],[Adults]]+WeddingGuests[[#This Row],[Kids]]</f>
        <v>0</v>
      </c>
      <c r="H107">
        <f>IF(WeddingGuests[[#This Row],[RSVP]]="Y",WeddingGuests[[#This Row],[Total Guests]],0)</f>
        <v>0</v>
      </c>
      <c r="I107" t="str">
        <f>IF(WeddingGuests[[#This Row],[RSVP]]="Y","Attending",IF(WeddingGuests[[#This Row],[RSVP]]="N","Not Attending","Unknown"))</f>
        <v>Not Attending</v>
      </c>
    </row>
    <row r="108" spans="1:9">
      <c r="A108" t="s">
        <v>120</v>
      </c>
      <c r="B108" t="s">
        <v>0</v>
      </c>
      <c r="C108" t="s">
        <v>6</v>
      </c>
      <c r="D108" s="1" t="s">
        <v>5</v>
      </c>
      <c r="E108">
        <v>0</v>
      </c>
      <c r="F108">
        <v>0</v>
      </c>
      <c r="G108">
        <f>WeddingGuests[[#This Row],[Adults]]+WeddingGuests[[#This Row],[Kids]]</f>
        <v>0</v>
      </c>
      <c r="H108">
        <f>IF(WeddingGuests[[#This Row],[RSVP]]="Y",WeddingGuests[[#This Row],[Total Guests]],0)</f>
        <v>0</v>
      </c>
      <c r="I108" t="str">
        <f>IF(WeddingGuests[[#This Row],[RSVP]]="Y","Attending",IF(WeddingGuests[[#This Row],[RSVP]]="N","Not Attending","Unknown"))</f>
        <v>Not Attending</v>
      </c>
    </row>
    <row r="109" spans="1:9">
      <c r="A109" t="s">
        <v>122</v>
      </c>
      <c r="B109" t="s">
        <v>0</v>
      </c>
      <c r="C109" t="s">
        <v>6</v>
      </c>
      <c r="D109" s="1" t="s">
        <v>5</v>
      </c>
      <c r="E109">
        <v>0</v>
      </c>
      <c r="F109">
        <v>0</v>
      </c>
      <c r="G109">
        <f>WeddingGuests[[#This Row],[Adults]]+WeddingGuests[[#This Row],[Kids]]</f>
        <v>0</v>
      </c>
      <c r="H109">
        <f>IF(WeddingGuests[[#This Row],[RSVP]]="Y",WeddingGuests[[#This Row],[Total Guests]],0)</f>
        <v>0</v>
      </c>
      <c r="I109" t="str">
        <f>IF(WeddingGuests[[#This Row],[RSVP]]="Y","Attending",IF(WeddingGuests[[#This Row],[RSVP]]="N","Not Attending","Unknown"))</f>
        <v>Not Attending</v>
      </c>
    </row>
    <row r="110" spans="1:9">
      <c r="A110" t="s">
        <v>123</v>
      </c>
      <c r="B110" t="s">
        <v>0</v>
      </c>
      <c r="C110" t="s">
        <v>6</v>
      </c>
      <c r="D110" s="1" t="s">
        <v>5</v>
      </c>
      <c r="E110">
        <v>0</v>
      </c>
      <c r="F110">
        <v>0</v>
      </c>
      <c r="G110">
        <f>WeddingGuests[[#This Row],[Adults]]+WeddingGuests[[#This Row],[Kids]]</f>
        <v>0</v>
      </c>
      <c r="H110">
        <f>IF(WeddingGuests[[#This Row],[RSVP]]="Y",WeddingGuests[[#This Row],[Total Guests]],0)</f>
        <v>0</v>
      </c>
      <c r="I110" t="str">
        <f>IF(WeddingGuests[[#This Row],[RSVP]]="Y","Attending",IF(WeddingGuests[[#This Row],[RSVP]]="N","Not Attending","Unknown"))</f>
        <v>Not Attending</v>
      </c>
    </row>
    <row r="111" spans="1:9">
      <c r="A111" t="s">
        <v>22</v>
      </c>
      <c r="B111" t="s">
        <v>0</v>
      </c>
      <c r="C111" t="s">
        <v>4</v>
      </c>
      <c r="D111" s="1" t="s">
        <v>2</v>
      </c>
      <c r="E111">
        <v>2</v>
      </c>
      <c r="F111">
        <v>2</v>
      </c>
      <c r="G111">
        <f>WeddingGuests[[#This Row],[Adults]]+WeddingGuests[[#This Row],[Kids]]</f>
        <v>4</v>
      </c>
      <c r="H111">
        <f>IF(WeddingGuests[[#This Row],[RSVP]]="Y",WeddingGuests[[#This Row],[Total Guests]],0)</f>
        <v>4</v>
      </c>
      <c r="I111" t="str">
        <f>IF(WeddingGuests[[#This Row],[RSVP]]="Y","Attending",IF(WeddingGuests[[#This Row],[RSVP]]="N","Not Attending","Unknown"))</f>
        <v>Attending</v>
      </c>
    </row>
    <row r="112" spans="1:9">
      <c r="A112" t="s">
        <v>23</v>
      </c>
      <c r="B112" t="s">
        <v>0</v>
      </c>
      <c r="C112" t="s">
        <v>4</v>
      </c>
      <c r="D112" s="1" t="s">
        <v>5</v>
      </c>
      <c r="E112">
        <v>0</v>
      </c>
      <c r="F112">
        <v>0</v>
      </c>
      <c r="G112">
        <f>WeddingGuests[[#This Row],[Adults]]+WeddingGuests[[#This Row],[Kids]]</f>
        <v>0</v>
      </c>
      <c r="H112">
        <f>IF(WeddingGuests[[#This Row],[RSVP]]="Y",WeddingGuests[[#This Row],[Total Guests]],0)</f>
        <v>0</v>
      </c>
      <c r="I112" t="str">
        <f>IF(WeddingGuests[[#This Row],[RSVP]]="Y","Attending",IF(WeddingGuests[[#This Row],[RSVP]]="N","Not Attending","Unknown"))</f>
        <v>Not Attending</v>
      </c>
    </row>
    <row r="113" spans="1:9">
      <c r="A113" t="s">
        <v>26</v>
      </c>
      <c r="B113" t="s">
        <v>0</v>
      </c>
      <c r="C113" t="s">
        <v>4</v>
      </c>
      <c r="D113" s="1" t="s">
        <v>5</v>
      </c>
      <c r="E113">
        <v>0</v>
      </c>
      <c r="F113">
        <v>0</v>
      </c>
      <c r="G113">
        <f>WeddingGuests[[#This Row],[Adults]]+WeddingGuests[[#This Row],[Kids]]</f>
        <v>0</v>
      </c>
      <c r="H113">
        <f>IF(WeddingGuests[[#This Row],[RSVP]]="Y",WeddingGuests[[#This Row],[Total Guests]],0)</f>
        <v>0</v>
      </c>
      <c r="I113" t="str">
        <f>IF(WeddingGuests[[#This Row],[RSVP]]="Y","Attending",IF(WeddingGuests[[#This Row],[RSVP]]="N","Not Attending","Unknown"))</f>
        <v>Not Attending</v>
      </c>
    </row>
    <row r="114" spans="1:9">
      <c r="A114" t="s">
        <v>31</v>
      </c>
      <c r="B114" t="s">
        <v>0</v>
      </c>
      <c r="C114" t="s">
        <v>4</v>
      </c>
      <c r="D114" s="1" t="s">
        <v>2</v>
      </c>
      <c r="E114">
        <v>2</v>
      </c>
      <c r="F114">
        <v>0</v>
      </c>
      <c r="G114">
        <f>WeddingGuests[[#This Row],[Adults]]+WeddingGuests[[#This Row],[Kids]]</f>
        <v>2</v>
      </c>
      <c r="H114">
        <f>IF(WeddingGuests[[#This Row],[RSVP]]="Y",WeddingGuests[[#This Row],[Total Guests]],0)</f>
        <v>2</v>
      </c>
      <c r="I114" t="str">
        <f>IF(WeddingGuests[[#This Row],[RSVP]]="Y","Attending",IF(WeddingGuests[[#This Row],[RSVP]]="N","Not Attending","Unknown"))</f>
        <v>Attending</v>
      </c>
    </row>
    <row r="115" spans="1:9">
      <c r="A115" t="s">
        <v>34</v>
      </c>
      <c r="B115" t="s">
        <v>0</v>
      </c>
      <c r="C115" t="s">
        <v>4</v>
      </c>
      <c r="D115" s="1" t="s">
        <v>5</v>
      </c>
      <c r="E115">
        <v>0</v>
      </c>
      <c r="F115">
        <v>0</v>
      </c>
      <c r="G115">
        <f>WeddingGuests[[#This Row],[Adults]]+WeddingGuests[[#This Row],[Kids]]</f>
        <v>0</v>
      </c>
      <c r="H115">
        <f>IF(WeddingGuests[[#This Row],[RSVP]]="Y",WeddingGuests[[#This Row],[Total Guests]],0)</f>
        <v>0</v>
      </c>
      <c r="I115" t="str">
        <f>IF(WeddingGuests[[#This Row],[RSVP]]="Y","Attending",IF(WeddingGuests[[#This Row],[RSVP]]="N","Not Attending","Unknown"))</f>
        <v>Not Attending</v>
      </c>
    </row>
    <row r="116" spans="1:9">
      <c r="A116" t="s">
        <v>46</v>
      </c>
      <c r="B116" t="s">
        <v>0</v>
      </c>
      <c r="C116" t="s">
        <v>4</v>
      </c>
      <c r="D116" s="1" t="s">
        <v>2</v>
      </c>
      <c r="E116">
        <v>2</v>
      </c>
      <c r="F116">
        <v>0</v>
      </c>
      <c r="G116">
        <f>WeddingGuests[[#This Row],[Adults]]+WeddingGuests[[#This Row],[Kids]]</f>
        <v>2</v>
      </c>
      <c r="H116">
        <f>IF(WeddingGuests[[#This Row],[RSVP]]="Y",WeddingGuests[[#This Row],[Total Guests]],0)</f>
        <v>2</v>
      </c>
      <c r="I116" t="str">
        <f>IF(WeddingGuests[[#This Row],[RSVP]]="Y","Attending",IF(WeddingGuests[[#This Row],[RSVP]]="N","Not Attending","Unknown"))</f>
        <v>Attending</v>
      </c>
    </row>
    <row r="117" spans="1:9">
      <c r="A117" t="s">
        <v>54</v>
      </c>
      <c r="B117" t="s">
        <v>0</v>
      </c>
      <c r="C117" t="s">
        <v>4</v>
      </c>
      <c r="D117" s="1" t="s">
        <v>5</v>
      </c>
      <c r="E117">
        <v>0</v>
      </c>
      <c r="F117">
        <v>0</v>
      </c>
      <c r="G117">
        <f>WeddingGuests[[#This Row],[Adults]]+WeddingGuests[[#This Row],[Kids]]</f>
        <v>0</v>
      </c>
      <c r="H117">
        <f>IF(WeddingGuests[[#This Row],[RSVP]]="Y",WeddingGuests[[#This Row],[Total Guests]],0)</f>
        <v>0</v>
      </c>
      <c r="I117" t="str">
        <f>IF(WeddingGuests[[#This Row],[RSVP]]="Y","Attending",IF(WeddingGuests[[#This Row],[RSVP]]="N","Not Attending","Unknown"))</f>
        <v>Not Attending</v>
      </c>
    </row>
    <row r="118" spans="1:9">
      <c r="A118" t="s">
        <v>60</v>
      </c>
      <c r="B118" t="s">
        <v>0</v>
      </c>
      <c r="C118" t="s">
        <v>4</v>
      </c>
      <c r="D118" s="1" t="s">
        <v>2</v>
      </c>
      <c r="E118">
        <v>2</v>
      </c>
      <c r="F118">
        <v>0</v>
      </c>
      <c r="G118">
        <f>WeddingGuests[[#This Row],[Adults]]+WeddingGuests[[#This Row],[Kids]]</f>
        <v>2</v>
      </c>
      <c r="H118">
        <f>IF(WeddingGuests[[#This Row],[RSVP]]="Y",WeddingGuests[[#This Row],[Total Guests]],0)</f>
        <v>2</v>
      </c>
      <c r="I118" t="str">
        <f>IF(WeddingGuests[[#This Row],[RSVP]]="Y","Attending",IF(WeddingGuests[[#This Row],[RSVP]]="N","Not Attending","Unknown"))</f>
        <v>Attending</v>
      </c>
    </row>
    <row r="119" spans="1:9">
      <c r="A119" t="s">
        <v>61</v>
      </c>
      <c r="B119" t="s">
        <v>0</v>
      </c>
      <c r="C119" t="s">
        <v>4</v>
      </c>
      <c r="D119" s="1" t="s">
        <v>5</v>
      </c>
      <c r="E119">
        <v>0</v>
      </c>
      <c r="F119">
        <v>0</v>
      </c>
      <c r="G119">
        <f>WeddingGuests[[#This Row],[Adults]]+WeddingGuests[[#This Row],[Kids]]</f>
        <v>0</v>
      </c>
      <c r="H119">
        <f>IF(WeddingGuests[[#This Row],[RSVP]]="Y",WeddingGuests[[#This Row],[Total Guests]],0)</f>
        <v>0</v>
      </c>
      <c r="I119" t="str">
        <f>IF(WeddingGuests[[#This Row],[RSVP]]="Y","Attending",IF(WeddingGuests[[#This Row],[RSVP]]="N","Not Attending","Unknown"))</f>
        <v>Not Attending</v>
      </c>
    </row>
    <row r="120" spans="1:9">
      <c r="A120" t="s">
        <v>69</v>
      </c>
      <c r="B120" t="s">
        <v>0</v>
      </c>
      <c r="C120" t="s">
        <v>4</v>
      </c>
      <c r="D120" s="1" t="s">
        <v>5</v>
      </c>
      <c r="E120">
        <v>0</v>
      </c>
      <c r="F120">
        <v>0</v>
      </c>
      <c r="G120">
        <f>WeddingGuests[[#This Row],[Adults]]+WeddingGuests[[#This Row],[Kids]]</f>
        <v>0</v>
      </c>
      <c r="H120">
        <f>IF(WeddingGuests[[#This Row],[RSVP]]="Y",WeddingGuests[[#This Row],[Total Guests]],0)</f>
        <v>0</v>
      </c>
      <c r="I120" t="str">
        <f>IF(WeddingGuests[[#This Row],[RSVP]]="Y","Attending",IF(WeddingGuests[[#This Row],[RSVP]]="N","Not Attending","Unknown"))</f>
        <v>Not Attending</v>
      </c>
    </row>
    <row r="121" spans="1:9">
      <c r="A121" t="s">
        <v>82</v>
      </c>
      <c r="B121" t="s">
        <v>0</v>
      </c>
      <c r="C121" t="s">
        <v>4</v>
      </c>
      <c r="D121" s="1" t="s">
        <v>5</v>
      </c>
      <c r="E121">
        <v>0</v>
      </c>
      <c r="F121">
        <v>0</v>
      </c>
      <c r="G121">
        <f>WeddingGuests[[#This Row],[Adults]]+WeddingGuests[[#This Row],[Kids]]</f>
        <v>0</v>
      </c>
      <c r="H121">
        <f>IF(WeddingGuests[[#This Row],[RSVP]]="Y",WeddingGuests[[#This Row],[Total Guests]],0)</f>
        <v>0</v>
      </c>
      <c r="I121" t="str">
        <f>IF(WeddingGuests[[#This Row],[RSVP]]="Y","Attending",IF(WeddingGuests[[#This Row],[RSVP]]="N","Not Attending","Unknown"))</f>
        <v>Not Attending</v>
      </c>
    </row>
    <row r="122" spans="1:9">
      <c r="A122" t="s">
        <v>135</v>
      </c>
      <c r="B122" s="2" t="s">
        <v>0</v>
      </c>
      <c r="C122" t="s">
        <v>4</v>
      </c>
      <c r="D122" s="1" t="s">
        <v>5</v>
      </c>
      <c r="E122">
        <v>0</v>
      </c>
      <c r="F122">
        <v>0</v>
      </c>
      <c r="G122">
        <f>WeddingGuests[[#This Row],[Adults]]+WeddingGuests[[#This Row],[Kids]]</f>
        <v>0</v>
      </c>
      <c r="H122">
        <f>IF(WeddingGuests[[#This Row],[RSVP]]="Y",WeddingGuests[[#This Row],[Total Guests]],0)</f>
        <v>0</v>
      </c>
      <c r="I122" t="str">
        <f>IF(WeddingGuests[[#This Row],[RSVP]]="Y","Attending",IF(WeddingGuests[[#This Row],[RSVP]]="N","Not Attending","Unknown"))</f>
        <v>Not Attending</v>
      </c>
    </row>
    <row r="123" spans="1:9">
      <c r="A123" t="s">
        <v>90</v>
      </c>
      <c r="B123" s="2" t="s">
        <v>0</v>
      </c>
      <c r="C123" t="s">
        <v>4</v>
      </c>
      <c r="D123" s="1" t="s">
        <v>2</v>
      </c>
      <c r="E123">
        <v>2</v>
      </c>
      <c r="F123">
        <v>0</v>
      </c>
      <c r="G123">
        <f>WeddingGuests[[#This Row],[Adults]]+WeddingGuests[[#This Row],[Kids]]</f>
        <v>2</v>
      </c>
      <c r="H123">
        <f>IF(WeddingGuests[[#This Row],[RSVP]]="Y",WeddingGuests[[#This Row],[Total Guests]],0)</f>
        <v>2</v>
      </c>
      <c r="I123" t="str">
        <f>IF(WeddingGuests[[#This Row],[RSVP]]="Y","Attending",IF(WeddingGuests[[#This Row],[RSVP]]="N","Not Attending","Unknown"))</f>
        <v>Attending</v>
      </c>
    </row>
    <row r="124" spans="1:9">
      <c r="A124" t="s">
        <v>97</v>
      </c>
      <c r="B124" t="s">
        <v>0</v>
      </c>
      <c r="C124" t="s">
        <v>4</v>
      </c>
      <c r="D124" s="1" t="s">
        <v>5</v>
      </c>
      <c r="E124">
        <v>0</v>
      </c>
      <c r="F124">
        <v>0</v>
      </c>
      <c r="G124">
        <f>WeddingGuests[[#This Row],[Adults]]+WeddingGuests[[#This Row],[Kids]]</f>
        <v>0</v>
      </c>
      <c r="H124">
        <f>IF(WeddingGuests[[#This Row],[RSVP]]="Y",WeddingGuests[[#This Row],[Total Guests]],0)</f>
        <v>0</v>
      </c>
      <c r="I124" t="str">
        <f>IF(WeddingGuests[[#This Row],[RSVP]]="Y","Attending",IF(WeddingGuests[[#This Row],[RSVP]]="N","Not Attending","Unknown"))</f>
        <v>Not Attending</v>
      </c>
    </row>
    <row r="125" spans="1:9">
      <c r="A125" t="s">
        <v>102</v>
      </c>
      <c r="B125" t="s">
        <v>0</v>
      </c>
      <c r="C125" t="s">
        <v>4</v>
      </c>
      <c r="D125" s="1" t="s">
        <v>5</v>
      </c>
      <c r="E125">
        <v>0</v>
      </c>
      <c r="F125">
        <v>0</v>
      </c>
      <c r="G125">
        <f>WeddingGuests[[#This Row],[Adults]]+WeddingGuests[[#This Row],[Kids]]</f>
        <v>0</v>
      </c>
      <c r="H125">
        <f>IF(WeddingGuests[[#This Row],[RSVP]]="Y",WeddingGuests[[#This Row],[Total Guests]],0)</f>
        <v>0</v>
      </c>
      <c r="I125" t="str">
        <f>IF(WeddingGuests[[#This Row],[RSVP]]="Y","Attending",IF(WeddingGuests[[#This Row],[RSVP]]="N","Not Attending","Unknown"))</f>
        <v>Not Attending</v>
      </c>
    </row>
    <row r="126" spans="1:9">
      <c r="A126" t="s">
        <v>110</v>
      </c>
      <c r="B126" t="s">
        <v>0</v>
      </c>
      <c r="C126" t="s">
        <v>4</v>
      </c>
      <c r="D126" s="1" t="s">
        <v>2</v>
      </c>
      <c r="E126">
        <v>2</v>
      </c>
      <c r="F126">
        <v>0</v>
      </c>
      <c r="G126">
        <f>WeddingGuests[[#This Row],[Adults]]+WeddingGuests[[#This Row],[Kids]]</f>
        <v>2</v>
      </c>
      <c r="H126">
        <f>IF(WeddingGuests[[#This Row],[RSVP]]="Y",WeddingGuests[[#This Row],[Total Guests]],0)</f>
        <v>2</v>
      </c>
      <c r="I126" t="str">
        <f>IF(WeddingGuests[[#This Row],[RSVP]]="Y","Attending",IF(WeddingGuests[[#This Row],[RSVP]]="N","Not Attending","Unknown"))</f>
        <v>Attending</v>
      </c>
    </row>
    <row r="127" spans="1:9">
      <c r="A127" t="s">
        <v>116</v>
      </c>
      <c r="B127" t="s">
        <v>0</v>
      </c>
      <c r="C127" t="s">
        <v>4</v>
      </c>
      <c r="D127" s="1" t="s">
        <v>2</v>
      </c>
      <c r="E127">
        <v>2</v>
      </c>
      <c r="F127">
        <v>0</v>
      </c>
      <c r="G127">
        <f>WeddingGuests[[#This Row],[Adults]]+WeddingGuests[[#This Row],[Kids]]</f>
        <v>2</v>
      </c>
      <c r="H127">
        <f>IF(WeddingGuests[[#This Row],[RSVP]]="Y",WeddingGuests[[#This Row],[Total Guests]],0)</f>
        <v>2</v>
      </c>
      <c r="I127" t="str">
        <f>IF(WeddingGuests[[#This Row],[RSVP]]="Y","Attending",IF(WeddingGuests[[#This Row],[RSVP]]="N","Not Attending","Unknown"))</f>
        <v>Attending</v>
      </c>
    </row>
  </sheetData>
  <sortState xmlns:xlrd2="http://schemas.microsoft.com/office/spreadsheetml/2017/richdata2" ref="A2:F127">
    <sortCondition ref="B2:B127"/>
    <sortCondition ref="C2:C127"/>
  </sortState>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D4FB-5B9D-4960-BDFE-AB4F068F60BE}">
  <dimension ref="A1:H16"/>
  <sheetViews>
    <sheetView topLeftCell="A4" workbookViewId="0">
      <selection activeCell="D12" sqref="D12:E15"/>
    </sheetView>
  </sheetViews>
  <sheetFormatPr defaultRowHeight="14.5"/>
  <cols>
    <col min="1" max="1" width="31.1796875" bestFit="1" customWidth="1"/>
    <col min="4" max="4" width="11.08984375" bestFit="1" customWidth="1"/>
    <col min="5" max="5" width="16.26953125" bestFit="1" customWidth="1"/>
    <col min="7" max="7" width="21.81640625" bestFit="1" customWidth="1"/>
  </cols>
  <sheetData>
    <row r="1" spans="1:8">
      <c r="A1" t="s">
        <v>138</v>
      </c>
    </row>
    <row r="2" spans="1:8">
      <c r="D2" t="s">
        <v>7</v>
      </c>
      <c r="E2" t="s">
        <v>147</v>
      </c>
      <c r="G2" t="s">
        <v>154</v>
      </c>
    </row>
    <row r="3" spans="1:8">
      <c r="A3" t="s">
        <v>139</v>
      </c>
      <c r="B3">
        <f>SUMIF('Guest Data'!D:D, "Y", 'Guest Data'!E:E)</f>
        <v>102</v>
      </c>
      <c r="D3" t="s">
        <v>3</v>
      </c>
      <c r="E3" s="7">
        <f>SUMIFS('Guest Data'!E:E,'Guest Data'!B:B,D3,'Guest Data'!D:D,"Y")+SUMIFS('Guest Data'!F:F,'Guest Data'!B:B,D3,'Guest Data'!D:D,"Y")</f>
        <v>50</v>
      </c>
      <c r="G3" t="s">
        <v>155</v>
      </c>
      <c r="H3">
        <f>SUM(WeddingGuests[Confirmed Guests])</f>
        <v>112</v>
      </c>
    </row>
    <row r="4" spans="1:8">
      <c r="A4" t="s">
        <v>140</v>
      </c>
      <c r="B4">
        <f>SUMIF('Guest Data'!D:D,"Y",'Guest Data'!F:F)</f>
        <v>10</v>
      </c>
      <c r="D4" t="s">
        <v>0</v>
      </c>
      <c r="E4" s="7">
        <f>SUMIFS('Guest Data'!E:E,'Guest Data'!B:B,D4,'Guest Data'!D:D,"Y")+SUMIFS('Guest Data'!F:F,'Guest Data'!B:B,D4,'Guest Data'!D:D,"Y")</f>
        <v>62</v>
      </c>
      <c r="G4" t="s">
        <v>156</v>
      </c>
      <c r="H4">
        <f>B5</f>
        <v>112</v>
      </c>
    </row>
    <row r="5" spans="1:8">
      <c r="A5" s="5" t="s">
        <v>141</v>
      </c>
      <c r="B5" s="5">
        <f>SUM(B3:B4)</f>
        <v>112</v>
      </c>
      <c r="E5" s="7"/>
      <c r="G5" t="s">
        <v>157</v>
      </c>
      <c r="H5" t="str">
        <f>IF(H3=H4,"PASS","CHECK DATA")</f>
        <v>PASS</v>
      </c>
    </row>
    <row r="7" spans="1:8">
      <c r="A7" t="s">
        <v>142</v>
      </c>
      <c r="B7" s="4">
        <f>B3*67.5</f>
        <v>6885</v>
      </c>
      <c r="D7" t="s">
        <v>148</v>
      </c>
      <c r="E7" t="s">
        <v>149</v>
      </c>
    </row>
    <row r="8" spans="1:8">
      <c r="A8" t="s">
        <v>143</v>
      </c>
      <c r="B8" s="4">
        <f>B4*(67.5*70%)</f>
        <v>472.5</v>
      </c>
      <c r="D8" t="s">
        <v>129</v>
      </c>
      <c r="E8">
        <f>B3</f>
        <v>102</v>
      </c>
    </row>
    <row r="9" spans="1:8">
      <c r="A9" t="s">
        <v>144</v>
      </c>
      <c r="B9" s="4">
        <f>SUM(B7:B8)</f>
        <v>7357.5</v>
      </c>
      <c r="D9" t="s">
        <v>150</v>
      </c>
      <c r="E9">
        <f>B4</f>
        <v>10</v>
      </c>
    </row>
    <row r="10" spans="1:8">
      <c r="A10" t="s">
        <v>145</v>
      </c>
      <c r="B10" s="4">
        <f>B9*8.25%</f>
        <v>606.99374999999998</v>
      </c>
    </row>
    <row r="11" spans="1:8">
      <c r="A11" s="5" t="s">
        <v>146</v>
      </c>
      <c r="B11" s="6">
        <f>SUM(B9:B10)</f>
        <v>7964.4937499999996</v>
      </c>
    </row>
    <row r="12" spans="1:8">
      <c r="D12" t="s">
        <v>164</v>
      </c>
      <c r="E12" t="s">
        <v>152</v>
      </c>
    </row>
    <row r="13" spans="1:8">
      <c r="D13" t="s">
        <v>1</v>
      </c>
      <c r="E13">
        <f>SUMIFS(WeddingGuests[Confirmed Guests],WeddingGuests[Relation],D13)</f>
        <v>45</v>
      </c>
    </row>
    <row r="14" spans="1:8">
      <c r="D14" t="s">
        <v>6</v>
      </c>
      <c r="E14">
        <f>SUMIFS(WeddingGuests[Confirmed Guests],WeddingGuests[Relation],D14)</f>
        <v>24</v>
      </c>
    </row>
    <row r="15" spans="1:8">
      <c r="D15" t="s">
        <v>4</v>
      </c>
      <c r="E15">
        <f>SUMIFS(WeddingGuests[Confirmed Guests],WeddingGuests[Relation],D15)</f>
        <v>43</v>
      </c>
    </row>
    <row r="16" spans="1:8">
      <c r="D16" t="s">
        <v>165</v>
      </c>
      <c r="E16" s="7">
        <f>SUM(E13:E15)</f>
        <v>112</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B964-C8D8-4361-8628-BB39775E0555}">
  <dimension ref="A1:H55"/>
  <sheetViews>
    <sheetView showGridLines="0" tabSelected="1" workbookViewId="0">
      <selection activeCell="C13" sqref="C13"/>
    </sheetView>
  </sheetViews>
  <sheetFormatPr defaultRowHeight="14.5"/>
  <cols>
    <col min="1" max="1" width="45.6328125" bestFit="1" customWidth="1"/>
    <col min="7" max="7" width="19" bestFit="1" customWidth="1"/>
  </cols>
  <sheetData>
    <row r="1" spans="1:8" ht="42" customHeight="1">
      <c r="A1" s="19" t="s">
        <v>158</v>
      </c>
      <c r="B1" s="20"/>
      <c r="C1" s="20"/>
      <c r="D1" s="20"/>
      <c r="E1" s="20"/>
      <c r="F1" s="20"/>
      <c r="G1" s="20"/>
      <c r="H1" s="20"/>
    </row>
    <row r="2" spans="1:8">
      <c r="A2" s="9" t="s">
        <v>159</v>
      </c>
    </row>
    <row r="4" spans="1:8">
      <c r="A4" s="11" t="s">
        <v>152</v>
      </c>
      <c r="B4" s="10"/>
      <c r="D4" s="11" t="s">
        <v>160</v>
      </c>
      <c r="E4" s="13"/>
      <c r="G4" s="11" t="s">
        <v>161</v>
      </c>
      <c r="H4" s="10"/>
    </row>
    <row r="5" spans="1:8" ht="31">
      <c r="A5" s="12">
        <f>SUM(WeddingGuests[Confirmed Guests])</f>
        <v>112</v>
      </c>
      <c r="B5" s="10"/>
      <c r="D5" s="14">
        <f>'Attendance Summary'!B3</f>
        <v>102</v>
      </c>
      <c r="E5" s="13"/>
      <c r="G5" s="14">
        <f>'Attendance Summary'!B4</f>
        <v>10</v>
      </c>
      <c r="H5" s="10"/>
    </row>
    <row r="6" spans="1:8">
      <c r="A6" s="10"/>
      <c r="B6" s="10"/>
      <c r="D6" s="13"/>
      <c r="E6" s="13"/>
      <c r="G6" s="10"/>
      <c r="H6" s="10"/>
    </row>
    <row r="8" spans="1:8">
      <c r="A8" s="11" t="s">
        <v>162</v>
      </c>
      <c r="B8" s="10"/>
      <c r="D8" s="11" t="s">
        <v>163</v>
      </c>
      <c r="E8" s="10"/>
      <c r="G8" s="11" t="s">
        <v>146</v>
      </c>
      <c r="H8" s="10"/>
    </row>
    <row r="9" spans="1:8" ht="31">
      <c r="A9" s="14">
        <f>COUNTIF(WeddingGuests[RSVP],"Y")</f>
        <v>59</v>
      </c>
      <c r="B9" s="10"/>
      <c r="D9" s="14">
        <f>COUNTIF(WeddingGuests[RSVP],"N")</f>
        <v>67</v>
      </c>
      <c r="E9" s="10"/>
      <c r="G9" s="15">
        <f>'Attendance Summary'!B11</f>
        <v>7964.4937499999996</v>
      </c>
      <c r="H9" s="10"/>
    </row>
    <row r="10" spans="1:8">
      <c r="A10" s="10"/>
      <c r="B10" s="10"/>
      <c r="D10" s="10"/>
      <c r="E10" s="10"/>
      <c r="G10" s="10"/>
      <c r="H10" s="10"/>
    </row>
    <row r="12" spans="1:8">
      <c r="A12" s="11" t="s">
        <v>173</v>
      </c>
    </row>
    <row r="13" spans="1:8" ht="31">
      <c r="A13" s="16">
        <f>COUNTIF(WeddingGuests[RSVP],"Y")/COUNTA(WeddingGuests[RSVP])</f>
        <v>0.46825396825396826</v>
      </c>
    </row>
    <row r="14" spans="1:8" ht="15" customHeight="1">
      <c r="A14" s="16"/>
    </row>
    <row r="15" spans="1:8" ht="15.5">
      <c r="A15" s="18" t="s">
        <v>169</v>
      </c>
    </row>
    <row r="34" spans="1:1" ht="15.5">
      <c r="A34" s="17" t="s">
        <v>170</v>
      </c>
    </row>
    <row r="54" spans="1:1" ht="15.5">
      <c r="A54" s="17" t="s">
        <v>171</v>
      </c>
    </row>
    <row r="55" spans="1:1">
      <c r="A55" t="s">
        <v>172</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Analysis</vt:lpstr>
      <vt:lpstr>Guest Data</vt:lpstr>
      <vt:lpstr>Attendance Summary</vt:lpstr>
      <vt:lpstr>Dashboard</vt:lpstr>
    </vt:vector>
  </TitlesOfParts>
  <Company>CPCC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Aksut</dc:creator>
  <cp:lastModifiedBy>Kiana Ward</cp:lastModifiedBy>
  <dcterms:created xsi:type="dcterms:W3CDTF">2019-11-21T15:19:02Z</dcterms:created>
  <dcterms:modified xsi:type="dcterms:W3CDTF">2026-10-22T23:33:04Z</dcterms:modified>
</cp:coreProperties>
</file>